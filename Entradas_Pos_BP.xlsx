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franc\Downloads\"/>
    </mc:Choice>
  </mc:AlternateContent>
  <xr:revisionPtr revIDLastSave="0" documentId="8_{B21D68E8-DEFF-4EF1-B4AD-D3B34CD53468}" xr6:coauthVersionLast="47" xr6:coauthVersionMax="47" xr10:uidLastSave="{00000000-0000-0000-0000-000000000000}"/>
  <bookViews>
    <workbookView xWindow="-110" yWindow="-110" windowWidth="19420" windowHeight="10300" xr2:uid="{954EF542-009E-47E1-AF2E-F5B2E0DDCA83}"/>
  </bookViews>
  <sheets>
    <sheet name="Entradas Pós BP - 9,6M" sheetId="1" r:id="rId1"/>
  </sheets>
  <definedNames>
    <definedName name="_xlnm._FilterDatabase" localSheetId="0" hidden="1">'Entradas Pós BP - 9,6M'!$A$2:$BC$226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 i="1" l="1"/>
  <c r="AB1" i="1"/>
  <c r="AS1" i="1"/>
  <c r="AY1" i="1"/>
  <c r="AZ1" i="1"/>
  <c r="BC3" i="1"/>
  <c r="BC4" i="1"/>
  <c r="BC5" i="1"/>
  <c r="BC6" i="1"/>
  <c r="BC7" i="1"/>
  <c r="BC8" i="1"/>
  <c r="BC9" i="1"/>
  <c r="BC10" i="1"/>
  <c r="BC11" i="1"/>
  <c r="BC12" i="1"/>
  <c r="BC13" i="1"/>
  <c r="BC14" i="1"/>
  <c r="BC15" i="1"/>
  <c r="BC16" i="1"/>
  <c r="BC17" i="1"/>
  <c r="BC18" i="1"/>
  <c r="BC19" i="1"/>
  <c r="BC20" i="1"/>
  <c r="BC21" i="1"/>
  <c r="BC22" i="1"/>
  <c r="BC23" i="1"/>
  <c r="BC24" i="1"/>
  <c r="BC25" i="1"/>
  <c r="BC26" i="1"/>
  <c r="BC27" i="1"/>
  <c r="BC28" i="1"/>
  <c r="BC29" i="1"/>
  <c r="BC30" i="1"/>
  <c r="BC31" i="1"/>
  <c r="BC32" i="1"/>
  <c r="BC33" i="1"/>
  <c r="BC34" i="1"/>
  <c r="BC35" i="1"/>
  <c r="BC36" i="1"/>
  <c r="BC37" i="1"/>
  <c r="BC38" i="1"/>
  <c r="BC39" i="1"/>
  <c r="BC40" i="1"/>
  <c r="BC41" i="1"/>
  <c r="BC42" i="1"/>
  <c r="BC43" i="1"/>
  <c r="BC44" i="1"/>
  <c r="BC45" i="1"/>
  <c r="BC46" i="1"/>
  <c r="BC47" i="1"/>
  <c r="BC148" i="1"/>
  <c r="BC150" i="1"/>
  <c r="BC155" i="1"/>
  <c r="BC157" i="1"/>
  <c r="BC158" i="1"/>
  <c r="BC159" i="1"/>
  <c r="BC163" i="1"/>
  <c r="BC164" i="1"/>
  <c r="BC171" i="1"/>
  <c r="BC174" i="1"/>
  <c r="BC175" i="1"/>
  <c r="BC177" i="1"/>
  <c r="BC180" i="1"/>
  <c r="BC182" i="1"/>
  <c r="BC184" i="1"/>
  <c r="BC185" i="1"/>
  <c r="BC186" i="1"/>
  <c r="BC188" i="1"/>
  <c r="BC189" i="1"/>
  <c r="BC191" i="1"/>
  <c r="BC192" i="1"/>
  <c r="BC19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AR1" authorId="0" shapeId="0" xr:uid="{9ED35FDA-6D73-487C-BB7B-279B7A74F62C}">
      <text>
        <r>
          <rPr>
            <sz val="11"/>
            <color theme="1"/>
            <rFont val="Aptos Narrow"/>
            <family val="2"/>
            <scheme val="minor"/>
          </rPr>
          <t>[Comentário encadeado]
Sua versão do Excel permite que você leia este comentário encadeado, no entanto, as edições serão removidas se o arquivo for aberto em uma versão mais recente do Excel. Saiba mais: https://go.microsoft.com/fwlink/?linkid=870924
Comentário:
    Valor reportado do antigo campo Fcx da coluna AB, não utilizamos mais esse campo.</t>
        </r>
      </text>
    </comment>
  </commentList>
</comments>
</file>

<file path=xl/sharedStrings.xml><?xml version="1.0" encoding="utf-8"?>
<sst xmlns="http://schemas.openxmlformats.org/spreadsheetml/2006/main" count="5692" uniqueCount="1354">
  <si>
    <t>New Claim</t>
  </si>
  <si>
    <t>Property Tax</t>
  </si>
  <si>
    <t>FLUXO DE CAIXA</t>
  </si>
  <si>
    <t>1.175,65</t>
  </si>
  <si>
    <t>New Claims</t>
  </si>
  <si>
    <t>Não</t>
  </si>
  <si>
    <t>Daniele Pereira Lima</t>
  </si>
  <si>
    <t>Execução Fiscal</t>
  </si>
  <si>
    <t>Execução</t>
  </si>
  <si>
    <t>SP</t>
  </si>
  <si>
    <t>2ª Vara da Fazenda Pública - Santo André, SP/TJSP</t>
  </si>
  <si>
    <t>IPTU Cliente</t>
  </si>
  <si>
    <t>Trata-se de execução fiscal de IPTU do imóvel situado à Avenida Capuava, 231, APTO 153, BL 02, Condomínio Century Plaza, Tamanduateí, Santo André/SP, CEP 09111-000</t>
  </si>
  <si>
    <t>São Paulo</t>
  </si>
  <si>
    <t>PIRELLI_BROOKFIELD CENTURY PLAZA_LIVING</t>
  </si>
  <si>
    <t>PASSIVO</t>
  </si>
  <si>
    <t>REIS GONÇALVES BASTOS E HORA ADVOGADOS - RGBH</t>
  </si>
  <si>
    <t>ATIVOS</t>
  </si>
  <si>
    <t>ERBE INCORPORADORA 019 S.A.</t>
  </si>
  <si>
    <t>PREFEITURA DO MUNICÍPIO DE SANTO ANDRÉ</t>
  </si>
  <si>
    <t>Tributário</t>
  </si>
  <si>
    <t>projuris-75303</t>
  </si>
  <si>
    <t>1510496-35.2022.8.26.0554</t>
  </si>
  <si>
    <t>Cível</t>
  </si>
  <si>
    <t>CPF/ME 183.863.387-17</t>
  </si>
  <si>
    <t>183.863.387-17</t>
  </si>
  <si>
    <t>ALBERTO LOUVERA - 048.116</t>
  </si>
  <si>
    <t>0.12</t>
  </si>
  <si>
    <t>Indenizatória</t>
  </si>
  <si>
    <t>Ordinário</t>
  </si>
  <si>
    <t>2ª Vara Cível - Carapicuíba, SP/TJSP</t>
  </si>
  <si>
    <t>Esclarecimento de Informações</t>
  </si>
  <si>
    <t>A Erbe é terceira interessada, fomos intimados da PENHORA que recaiu sobre o imóvel de matrícula nº 309438, sobre os direitos do executado Marcello Carvalho Guelpeli, CPF nº 074.268.827-56.</t>
  </si>
  <si>
    <t>Rio de Janeiro</t>
  </si>
  <si>
    <t>UNION SQUARE_MATERTRADE_FTK</t>
  </si>
  <si>
    <t>ANNA MEY MOTTA CARVALHO GUELPELI,</t>
  </si>
  <si>
    <t>projuris-75287</t>
  </si>
  <si>
    <t>1009090-95.2018.8.26.0127</t>
  </si>
  <si>
    <t>CNPJ/ME 42.498.733/0001-48</t>
  </si>
  <si>
    <t>42.498.733/0001-48</t>
  </si>
  <si>
    <t>DIEGO DIAS - 149.148</t>
  </si>
  <si>
    <t>3.430,58</t>
  </si>
  <si>
    <t>RJ</t>
  </si>
  <si>
    <t>12ª Vara da Fazenda Pública - Rio de Janeiro, RJ/TJRJ</t>
  </si>
  <si>
    <t>Trata-se de Execução fiscal:
Natureza: IPTU/Taxas - Predial
Exercício: 2021, 2022, 2023 e 2024
Enderenço: RUA DEGAS Nº 400, BL-003 APTO 0409, DEL CASTILHO, Rio de Janeiro, RJ, CEP: 20771-58
UNIDADE EM ESTOQUE</t>
  </si>
  <si>
    <t>NORTE VILLAGE RESIDENCIAL</t>
  </si>
  <si>
    <t>ERBE INCORPORADORA 006 LTDA.</t>
  </si>
  <si>
    <t>MUNICIPIO DO RIO DE JANEIRO</t>
  </si>
  <si>
    <t>projuris-75290</t>
  </si>
  <si>
    <t>3022267-33.2025.8.19.0001</t>
  </si>
  <si>
    <t>7.086,63</t>
  </si>
  <si>
    <t>Trata-se de Execução fiscal:
Natureza: IPTU/Taxas - Predial
Exercício: 2021 
Enderenço: RUA MAPENDI Nº 144, APT 0404 BLC 001, TAQUARA, Rio de Janeiro, RJ, CEP: 22710-255</t>
  </si>
  <si>
    <t>VILA BELA_MAPENDI</t>
  </si>
  <si>
    <t>ERBE INCORPORADORA 014 LTDA.</t>
  </si>
  <si>
    <t>projuris-75291</t>
  </si>
  <si>
    <t>3043995-33.2025.8.19.0001</t>
  </si>
  <si>
    <t>12.408,52</t>
  </si>
  <si>
    <t>Trata-se de Execução fiscal:
Natureza: IPTU/Taxas - Predial
Exercício: 2022, 2023, 2024
Enderenço: AVN DAS AMERICAS Nº 17450, BL-002 APTO 0801, RECREIO DOS BANDEIRANTES, Rio de Janeiro, RJ, CEP: 22790-704</t>
  </si>
  <si>
    <t>OCEAN BREEZE</t>
  </si>
  <si>
    <t>BRASCAN SPE RJ-1 S.A.</t>
  </si>
  <si>
    <t>projuris-75294</t>
  </si>
  <si>
    <t>3053338-53.2025.8.19.0001</t>
  </si>
  <si>
    <t>Trata-se de Execução fiscal:
Natureza: IPTU/Taxas - Predial
Exercício: 2021 
Enderenço: AVN RENE LACLETTE Nº 100, BL-002 APTO 0407, RECREIO DOS BANDEIRANTES, Rio de Janeiro, RJ, CEP: 22790-903</t>
  </si>
  <si>
    <t>JARDINS DO RECREIO COND. CLUB</t>
  </si>
  <si>
    <t>ERBE INCORPORADORA 013 LTDA.</t>
  </si>
  <si>
    <t>projuris-75292</t>
  </si>
  <si>
    <t>3049111-20.2025.8.19.0001</t>
  </si>
  <si>
    <t>19.287,36</t>
  </si>
  <si>
    <t>Trata-se de Execução fiscal:
Natureza: IPTU/Taxas - Predial
Exercício: 20221, 2022 e 2023 
Enderenço: AVN DAS AMERICAS Nº 3301, BLC 01 SAL 0205, BARRA DA TIJUCA, RIO DE JANEIRO, RJ, CEP: 22631-003</t>
  </si>
  <si>
    <t>BARRA BUSINESS CENTER</t>
  </si>
  <si>
    <t>ERBE INCORPORADORA 015 LTDA.</t>
  </si>
  <si>
    <t>projuris-75298</t>
  </si>
  <si>
    <t>3055507-13.2025.8.19.0001</t>
  </si>
  <si>
    <t>21.202,57</t>
  </si>
  <si>
    <t>Execução Judicial</t>
  </si>
  <si>
    <t>Trata-se de Execução fiscal:
Natureza: IPTU/Taxas - Predial
Exercício: 20221 e 2024
Enderenço: AVN LUCIO COSTA Nº 4350, APT 201 BLC 6, BARRA DA TIJUCA, Rio de Janeiro, RJ, CEP: 22630-011</t>
  </si>
  <si>
    <t>LES RESIDENCE DE MONACO</t>
  </si>
  <si>
    <t>ERBE INCORPORADORA 001 S.A.</t>
  </si>
  <si>
    <t>projuris-75295</t>
  </si>
  <si>
    <t>3055514-05.2025.8.19.0001</t>
  </si>
  <si>
    <t>CNPJ/ME 46.341.038/0001-29</t>
  </si>
  <si>
    <t>46.341.038/0001-29</t>
  </si>
  <si>
    <t>24.822,10</t>
  </si>
  <si>
    <t>2ª Vara da Fazenda Pública - Piracicaba, SP/TJSP</t>
  </si>
  <si>
    <t>Trata-se de execução fiscal de IPTU das unidades abaixo listadas, do empreendimento situado à Avenida das Ondas, nº 4755.
UN. 33, BL 01, exercícios 2021, 2022, 2023 e 2024;
UN. 71, BL 01, exercícios 2021, 2022, 2023 e 2024;
UN. 14, BL 02, exercício 2021;
UN. 21, BL 02, exercício 2021;
UN. 44, BL 02, exercício 2021, 2022, 2023 e 2024;
UN. 11, BL 03, exercício 2023;
UN. 74, BL 03, exercícios 2021 e 2023;
UN. 51, BL 04, exercício 2021;
UN. 61, BL 04, exercícios 2021, 2022, 2023 e 2024;
UN. 24, BL 05, exercícios 2021 ,2022, 2023 e 2024;
UN. 33, BL 05, exercícios 2021, 2022, 2023 e 2024;
UN. 63, BL 05, exercícios 2023 e 2024;
UN. 33, BL 03, exercícios 2021 e 2022;
UN. 42, BL 06, exercícios 2021, 2022, 2023 e 2024;
UN. 52, BL 06, exercícios 2021, 2022, 2023 e 2024;
UN. 61, BL 06, exercício 2022;
UN. 43, BL 07, exercício 2021;
UN. 61, BL 08, exercício 2022.</t>
  </si>
  <si>
    <t>TATUAPE COND. CLUB</t>
  </si>
  <si>
    <t>ERBE INCORPORADORA 140 LTDA.</t>
  </si>
  <si>
    <t>PREFEITURA DO MUNICIPIO DE PIRACICABA</t>
  </si>
  <si>
    <t>projuris-75299</t>
  </si>
  <si>
    <t>1523184-42.2025.8.26.0451</t>
  </si>
  <si>
    <t>CNPJ/ME 46.395.000/0001-39</t>
  </si>
  <si>
    <t>46.395.000/0001-39</t>
  </si>
  <si>
    <t>LUCCAS LOMBARDO DE LIMA - 024.874.311-21</t>
  </si>
  <si>
    <t>25.675,58</t>
  </si>
  <si>
    <t>Vara das Execuções Fiscais - São Paulo, SP/TJSP</t>
  </si>
  <si>
    <t>Trata-se de Execução fiscal:
Natureza: IPTU/Taxas - Predial
Exercício: 2021, 2022, 2023 e 2024
Enderenço: R ANTONIO DE LUCENA 00155 AP 212 E VG CHACARA CALIFORNIA ED DIAMANTE 03407-050 - SAO PAULO - SP</t>
  </si>
  <si>
    <t>PREFEITURA DO MUNICIPIO DE SAO PAULO</t>
  </si>
  <si>
    <t>projuris-75301</t>
  </si>
  <si>
    <t>1547419-89.2025.8.26.0090</t>
  </si>
  <si>
    <t>29.359,17</t>
  </si>
  <si>
    <t>Trata-se de Execução fiscal:
Natureza: IPTU/Taxas - Predial
Exercício: 2023 e 2024
Enderenço: R BR DO TRIUNFO 00142 AP 22 3VG BROOKLIN PAULISTA CD ESP DAS ARTES 04602-000 - SAO PAULO - SP</t>
  </si>
  <si>
    <t>ESPAÇO DAS ARTES</t>
  </si>
  <si>
    <t>projuris-75300</t>
  </si>
  <si>
    <t>1530902-09.2025.8.26.0090</t>
  </si>
  <si>
    <t>Tax</t>
  </si>
  <si>
    <t>IPTU</t>
  </si>
  <si>
    <t>Trata-se de Execução fiscal:
Natureza: IPTU/Taxas - Predial
Exercício: 20221, 2022, 2023 e 2024
Enderenço: AVN DAS AMERICAS Nº 3301, BLC 04 LOJ 0113, BARRA DA TIJUCA, Rio de Janeiro, RJ, CEP: 22631-003</t>
  </si>
  <si>
    <t>projuris-75297</t>
  </si>
  <si>
    <t>3052525-26.2025.8.19.0001</t>
  </si>
  <si>
    <t>CNPJ/ME 46.522.942/0001-30</t>
  </si>
  <si>
    <t>46.522.942/0001-30</t>
  </si>
  <si>
    <t>3.512,29</t>
  </si>
  <si>
    <t>Trata-se de execução fiscal
Enderenço: RUA LAURA APARTAMENTO 51 EDIFICIO MAISON CLASSIC, 161 APARTAMENTO 51 EDIFICIO MAISON CLASSIC, VILA BASTOS, Santo Andre/, 09040-240
Exercício: 2022
Natureza: IPTU</t>
  </si>
  <si>
    <t>MAISON CLASSIC_SP</t>
  </si>
  <si>
    <t>MB ENGENHARIA SPE 050 S/A</t>
  </si>
  <si>
    <t>PREFEITURA MUNICIPAL DE SANTO ANDRE</t>
  </si>
  <si>
    <t>projuris-75276</t>
  </si>
  <si>
    <t>1511425-63.2025.8.26.0554</t>
  </si>
  <si>
    <t>15.178,00</t>
  </si>
  <si>
    <t>Trata-se de execução fiscal 
Enderenço: R ANTONIO DE LUCENA 00155 AP 11 E VG CHACARA CALIFORNIA ED DIAMANTE 03407-050 - SAO PAULO - SP
Exercício: 2022, 2023 e 2024
Natureza: IPTU - IMPOSTO SOBRE A PROPRIEDADE PREDIAL E TERRITORIAL URBANA</t>
  </si>
  <si>
    <t>ERBE INCORPORADORA 009 LTDA.</t>
  </si>
  <si>
    <t>projuris-75280</t>
  </si>
  <si>
    <t>1547418-07.2025.8.26.0090</t>
  </si>
  <si>
    <t>18.904,00</t>
  </si>
  <si>
    <t>Conhecimento</t>
  </si>
  <si>
    <t>Trata-se de execução fiscal 
Enderenço: R MAL BARBACENA 01302 AP 262 B E VGS VILA REGENTE FEIJO ED LA BOHEME 03333-000 - SAO PAULO - SP
Exercício: 2023
Natureza: IPTU - IMPOSTO SOBRE A PROPRIEDADE PREDIAL E TERRITORIAL URBANA</t>
  </si>
  <si>
    <t>MARIA CALLAS</t>
  </si>
  <si>
    <t>ERBE INCORPORADORA 127 LTDA.</t>
  </si>
  <si>
    <t>projuris-75279</t>
  </si>
  <si>
    <t>1546747-81.2025.8.26.0090</t>
  </si>
  <si>
    <t>CPF/ME 019.416.504-30</t>
  </si>
  <si>
    <t>019.416.504-30</t>
  </si>
  <si>
    <t>ROBERTO SANTOS DA CONCEIÇÃO - 202.225</t>
  </si>
  <si>
    <t>Karina Cruz da Silva</t>
  </si>
  <si>
    <t>Sumaríssimo</t>
  </si>
  <si>
    <t>Vara Cível - Magé, RJ/TJRJ</t>
  </si>
  <si>
    <t>Castelos D'água</t>
  </si>
  <si>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 em razão da falha na prestação de serviço e dos transtornos causados a condômina. Valor da Causa R$ 20.000,00.</t>
  </si>
  <si>
    <t>VILAS DE PIABETÁ</t>
  </si>
  <si>
    <t>ERBE INCORPORADORA 018 S.A.</t>
  </si>
  <si>
    <t>MARCOS DOS SANTOS</t>
  </si>
  <si>
    <t>projuris-75281</t>
  </si>
  <si>
    <t>0800053-04.2026.8.19.0075</t>
  </si>
  <si>
    <t>CPF/ME 072.380.436-29</t>
  </si>
  <si>
    <t>072.380.436-29</t>
  </si>
  <si>
    <t>OLIVIER A. F. DOURDIN - 5058</t>
  </si>
  <si>
    <t>21.042,13</t>
  </si>
  <si>
    <t>Thaina Giovanna Bianchi de Souza</t>
  </si>
  <si>
    <t>Obrigação de Dar l Fazer</t>
  </si>
  <si>
    <t>1ª Vara Cível - São Paulo, SP/TJSP</t>
  </si>
  <si>
    <t>Cota Condominial</t>
  </si>
  <si>
    <t>Trata-se de ação de ressarcimento de danos materiais, em que os Autores buscam a restituição dos valores pagos a título de taxas condominiais da unidade na qual nunca exerceram a posse.
Os Autores alegam que adquiriram, em 2013, unidade no empreendimento "Atelier Mozaik", promovido pela Ré. Diante da impossibilidade de entrega do imóvel, a Ré ofereceu um "downgrade" para outro empreendimento, denominado "Doce Lar Bella Colônia", em Jundiaí, descontando os valores já pagos. Apesar da formalização do distrato e do novo contrato, a Ré não concretizou o negócio, impondo encargos ilegais como a incidência do INCC e restrições quanto ao uso de carta de crédito bancária.
Em ação anterior (nº 1000054-15.2016.8.26.0704), o Juízo reconheceu a relação de consumo, condenou a Ré à apresentação do distrato, reconheceu violação ao direito de informação e fixou indenização por danos morais. Contudo, os Autores continuam arcando com despesas condominiais do "Doce Lar Bella Colônia", sem nunca terem usufruído da unidade, acumulando prejuízo de R$ 21.042,13.
Trata-se de unidade CAR</t>
  </si>
  <si>
    <t>ATELIER MOZAIK_FRANCISCO MORATO F2</t>
  </si>
  <si>
    <t>ERBE INCORPORADORA S.A.</t>
  </si>
  <si>
    <t>TÁRCIUS IAGHO BARBOSA RAMOS</t>
  </si>
  <si>
    <t>projuris-75277</t>
  </si>
  <si>
    <t>4080396-13.2025.8.26.0100</t>
  </si>
  <si>
    <t>25.640,00</t>
  </si>
  <si>
    <t>Trata-se de execução fiscal 
Enderenço: R MAL BARBACENA 01302 AP 121 B E VGS VILA REGENTE FEIJO ED LA BOHEME 03333-000 - SAO PAULO - SP
Exercício: 2024
Natureza: IPTU - IMPOSTO SOBRE A PROPRIEDADE PREDIAL E TERRITORIAL URBANA</t>
  </si>
  <si>
    <t>projuris-75278</t>
  </si>
  <si>
    <t>1546746-96.2025.8.26.0090</t>
  </si>
  <si>
    <t>CPF/ME 245.460.948-76</t>
  </si>
  <si>
    <t>245.460.948-76</t>
  </si>
  <si>
    <t>ANTONIO FLÁVIO COIMBRA MOTTA RODRIGUES DE CASTRO - 421.398</t>
  </si>
  <si>
    <t>0.22</t>
  </si>
  <si>
    <t>32ª Vara Cível - São Paulo, SP/TJSP</t>
  </si>
  <si>
    <t>Restituição de Valores</t>
  </si>
  <si>
    <t>Trata-se de ação declaratória de nulidade de cláusula contratual, ajuizada em face da TGSP-60 e Tegra Incorporadora S.A., visando o reconhecimento da ilegalidade da cobrança de correção monetária mensal pelo índice INCC sobre parcelas de contrato de promessa de compra e venda de unidade autônoma no empreendimento "Bem Moema".
A Autora alega que a exigência da correção mensal viola o art. 46 da Lei nº 10.931/2004, que só permite tal atualização em contratos com prazo mínimo de 36 meses. Sustenta que a Ré, para dar aparência de legalidade, incluiu no contrato uma parcela simbólica e futura (R$ 1.000,00 com vencimento em 2026), apenas para simular prazo superior a 36 meses.
A Autora afirma ter arcado integralmente com os encargos ilegais até a quitação do contrato em agosto de 2025 e requer a declaração da nulidade da cláusula de correção monetária, com todos os efeitos dela decorrentes.
TRATA-SE DE EMPREENDIMENTO TEGRA. Constou o CNPJ da Erbe no polo passivo.</t>
  </si>
  <si>
    <t>NÃO APLICÁVEL - (SEM VINCULAÇÃO)</t>
  </si>
  <si>
    <t>KARINA ORTEGA AMAD HERZOG</t>
  </si>
  <si>
    <t>projuris-75275</t>
  </si>
  <si>
    <t>4000493-89.2026.8.26.0100</t>
  </si>
  <si>
    <t>CNPJ/ME 01.409.580/0001-38</t>
  </si>
  <si>
    <t>01.409.580/0001-38</t>
  </si>
  <si>
    <t>170.563,17</t>
  </si>
  <si>
    <t>GO</t>
  </si>
  <si>
    <t>Vara Cível - Goiânia, GO/TJGO</t>
  </si>
  <si>
    <t>Multa Procon</t>
  </si>
  <si>
    <t>Trata-se de EXECUÇÃO FISCAL:
ORIGEM: PROCON - SUPERINTENDÊNCIA DE PROTEÇÃO AOS DIREITOS DO CONSUMIDOR. Nº PROCESSO DE ORIGEM: 52.001.001.16-0069821 - A R$ 25.147,06 R$ 16.276,22 R$ 0,00 R$ 12.978,40 R$ 0,00 R$ 5.440,17 R$ 59.841,84 NATUREZA: NÃO TRIBUTÁRIO DATA DA CONSTITUIÇÃO DEFINITIVA: 10/07/2025 FUNDAMENTO LEGAL: LEI ORDINÁRIA FEDERAL n° 8.078/1990, art. 39, inc. V , art. 42, parágrafo único , art. 56, inc. I , art. 57.</t>
  </si>
  <si>
    <t>Centro-Oeste</t>
  </si>
  <si>
    <t>EMPREENDIMENTO NÃO INFORMADO</t>
  </si>
  <si>
    <t>WSB ADVOCACIA</t>
  </si>
  <si>
    <t>ERBE INCORPORADORA 037 S.A.</t>
  </si>
  <si>
    <t>ESTADO DE GOIAS</t>
  </si>
  <si>
    <t>projuris-75282</t>
  </si>
  <si>
    <t>5042863-90.2026.8.09.0051</t>
  </si>
  <si>
    <t>FAR</t>
  </si>
  <si>
    <t>CPF/ME 068.953.277-62</t>
  </si>
  <si>
    <t>068.953.277-62</t>
  </si>
  <si>
    <t>Michele Fabiana Cardoso Soares</t>
  </si>
  <si>
    <t>FAR - Vício Construtivo Unidade Autônoma</t>
  </si>
  <si>
    <t>Trata-se de AÇÃO DE INDENIZAÇÃO POR DANOS MORAIS E MATERIAIS com PEDIDO DE TUTELA ANTECIPADA, referente imóvel localizado no Doce Lar Vilas de Piabetá - Condomínio Vila Conquista, ainda em construção, localizado no Lote 04, oriundo do desmembramento da área B2-A, que por sua vez é oriunda do desmembramento da gleba B/2, situada na zona urbana do 6º distrito, no Município de Magé, RJ.
O Autor alega o imóvel foi entregue com atraso significativo e em condições inadequadas de moradia, sem reparos apesar das tentativas administrativas. Diante das irregularidades e da recusa da ré em solucionar os problemas, os autores requerem a rescisão contratual.</t>
  </si>
  <si>
    <t>VILAS DE PIABETÁ_F1</t>
  </si>
  <si>
    <t>LEONARDO GOMES HONORATO</t>
  </si>
  <si>
    <t>projuris-75241</t>
  </si>
  <si>
    <t>0809117-16.2025.8.19.0029</t>
  </si>
  <si>
    <t>Delay</t>
  </si>
  <si>
    <t>CNPJ/ME 30.894.229/0001-88</t>
  </si>
  <si>
    <t>30.894.229/0001-88</t>
  </si>
  <si>
    <t>4.131.705,80</t>
  </si>
  <si>
    <t>Bibiana de Moraes Lobo Eusebio</t>
  </si>
  <si>
    <t>Vara Cível - Rio de Janeiro, RJ/TJRJ</t>
  </si>
  <si>
    <t>Atraso de Obra</t>
  </si>
  <si>
    <t>Trata-se de ação de indenização ajuizada por adquirente de 2 unidades (101 e 108) do Hyatt para pleitear verbas pelo atraso na entrega. Ajuizada apenas em face da Erbe.</t>
  </si>
  <si>
    <t>GRAND HYATT RESIDENCES</t>
  </si>
  <si>
    <t>ADVOCACIA SERGIO BERMUDES</t>
  </si>
  <si>
    <t>JNF8 PARTICIPACOES SOCIETARIAS LTDA.</t>
  </si>
  <si>
    <t>projuris-75236</t>
  </si>
  <si>
    <t>3031688-47.2025.8.19.0001</t>
  </si>
  <si>
    <t>CPF/ME 147.412.758-41</t>
  </si>
  <si>
    <t>147.412.758-41</t>
  </si>
  <si>
    <t>SANDRO PIGORETTI DE CARVALHO - 172.969</t>
  </si>
  <si>
    <t>36.885,40</t>
  </si>
  <si>
    <t>Adjudicação Compulsória</t>
  </si>
  <si>
    <t>2ª Vara Cível - São Paulo, SP/TJSP</t>
  </si>
  <si>
    <t>Outorga de Escritura</t>
  </si>
  <si>
    <t>VILLAGI DITALIA</t>
  </si>
  <si>
    <t>EDUARDO MOURAO POLO</t>
  </si>
  <si>
    <t>projuris-75235</t>
  </si>
  <si>
    <t>4006112-65.2025.8.26.0704</t>
  </si>
  <si>
    <t>CNPJ/ME 01.612.092/0001-23</t>
  </si>
  <si>
    <t>01.612.092/0001-23</t>
  </si>
  <si>
    <t>ANDRE CARRILHO ROSA SAMPAIO</t>
  </si>
  <si>
    <t>12.544,52</t>
  </si>
  <si>
    <t>Vara da Fazenda Pública - Goiânia, GO/TJGO</t>
  </si>
  <si>
    <t>Trata-se de Execução Fiscal. em razão de multa aplicada pelo Fundo Municipal de Proteção e Defesa do Consumidor - PROCON
Procon GO: 01140047791</t>
  </si>
  <si>
    <t>ERBE INCORPORADORA 122 LTDA.</t>
  </si>
  <si>
    <t>MUNICIPIO DE GOIANIA</t>
  </si>
  <si>
    <t>projuris-75234</t>
  </si>
  <si>
    <t>6071553-49.2025.8.09.0051</t>
  </si>
  <si>
    <t>838,97</t>
  </si>
  <si>
    <t>1ª Vara da Fazenda Pública - Santo André, SP/TJSP</t>
  </si>
  <si>
    <t>Trata-se de execução fiscal de IPTU do imóvel situado à Avenida Industrial, 750, APTO 23, Torre 2, Jardim, Santo André, CEP 09080-500. Exercício 2022.</t>
  </si>
  <si>
    <t>JARDIM PARK HOUSE_GENERAL TINTAS</t>
  </si>
  <si>
    <t>ERBE INCORPORADORA 126 LTDA.</t>
  </si>
  <si>
    <t>projuris-75232</t>
  </si>
  <si>
    <t>1510906-88.2025.8.26.0554</t>
  </si>
  <si>
    <t>1.303,67</t>
  </si>
  <si>
    <t>Trata-se de execução fiscal de IPTU do imóvel situado à Avenida Capuava, 100, APTO 221, BL 2, Cond, Century Plaza Living, Vila Homero Thon, Santo Andre/SP - CEP 09111-000. Exercício 2021.</t>
  </si>
  <si>
    <t>projuris-75227</t>
  </si>
  <si>
    <t>1510905-06.2025.8.26.0554</t>
  </si>
  <si>
    <t>1.587,79</t>
  </si>
  <si>
    <t>Vara Cível - Santo André, SP/TJSP</t>
  </si>
  <si>
    <t>Trata-se de execução fiscal de IPTU do imóvel situado à Rua Giovanni Battista Pirelli, 271, CJ 1411, Business Cond Atrium Century Plaza, Santo Andre/SP - CEP 09111-340. Exercício 2022.</t>
  </si>
  <si>
    <t>PIRELLI B. CENTURY PLAZA</t>
  </si>
  <si>
    <t>projuris-75230</t>
  </si>
  <si>
    <t>1510903-36.2025.8.26.0554</t>
  </si>
  <si>
    <t>1.587,80</t>
  </si>
  <si>
    <t>Trata-se de execução fiscal do imóvel situado à Rua Giovanni Battista Pirelli, 271, CJ 511, Business Cond Atrium Century Plaza, Santo Andre/SP - CEP 09111-340. Exercício 2022.</t>
  </si>
  <si>
    <t>projuris-75229</t>
  </si>
  <si>
    <t>1510904-21.2025.8.26.0554</t>
  </si>
  <si>
    <t>3.207,98</t>
  </si>
  <si>
    <t>Trata-se de execução fiscal de IPTU do imóvel situado à Rua Laura, 161, AP 82, Edifício Maison Classic, Vila Bastos, Santo Andre/SP - CEP 09040-240. Exercício 2022.</t>
  </si>
  <si>
    <t>projuris-75228</t>
  </si>
  <si>
    <t>1510927-64.2025.8.26.0554</t>
  </si>
  <si>
    <t>13.863,04</t>
  </si>
  <si>
    <t>Setor das Execuções Fiscais Municipais - São Paulo, SP/TJSP</t>
  </si>
  <si>
    <t>Trata-se de Execução Fiscal de IPTU do imóvel situado à Rua Xavier Gouveia, 241, AP 254, Parque Colonial, Acquare Campo Belo, São Paulo/SP - CEP 04610-010. Exercícios 2023 e 2024</t>
  </si>
  <si>
    <t>ACQUARE CAMPO BELLO</t>
  </si>
  <si>
    <t>projuris-75231</t>
  </si>
  <si>
    <t>1552285-43.2025.8.26.0090</t>
  </si>
  <si>
    <t>77.114,17</t>
  </si>
  <si>
    <t>Trata-se de execução fiscal de IPTU do imóvel situado à Rua Domenico Perotti, 50, AP 51, Jardim Fonte do Morumbi, Edifício Leeds Hall. Exercícios 2023 e 2024.</t>
  </si>
  <si>
    <t>LEEDS HALL</t>
  </si>
  <si>
    <t>projuris-75233</t>
  </si>
  <si>
    <t>1552604-11.2025.8.26.0090</t>
  </si>
  <si>
    <t>Labor</t>
  </si>
  <si>
    <t>CPF/ME 345.687.158-90</t>
  </si>
  <si>
    <t>345.687.158-90</t>
  </si>
  <si>
    <t>DAVID CARVALHO MARTINS</t>
  </si>
  <si>
    <t>Evandro Ferreira Lana</t>
  </si>
  <si>
    <t>Reclamação Trabalhista</t>
  </si>
  <si>
    <t>20ª Vara do Trabalho - São Paulo, SP/TRT2</t>
  </si>
  <si>
    <t>Responsabilidade Solidária/Subsidiária</t>
  </si>
  <si>
    <t>Função: Auxiliar de limpeza. Trata-se de RT proposta com pedido de condenação subsidiária da Cia para o reconhecimento da rescisão indireta e o pagamento das verbas trabalhistas devidas e danos morais.
RESPONSABILIDADE CONTRATUAL: ERBE</t>
  </si>
  <si>
    <t>BROOKFIELD TOWERS_GIROFLEX_ALPHA</t>
  </si>
  <si>
    <t>SANCHEZ SALVADORE SOCIEDADE DE ADVOGADOS</t>
  </si>
  <si>
    <t>ERBE INCORPORADORA 021 LTDA.</t>
  </si>
  <si>
    <t>GIVONALDA MENDONCA DE LIRA</t>
  </si>
  <si>
    <t>Trabalhista</t>
  </si>
  <si>
    <t>projuris-75226</t>
  </si>
  <si>
    <t>1002345-40.2025.5.02.0720</t>
  </si>
  <si>
    <t>CNPJ/ME 46.523.023/0001-81</t>
  </si>
  <si>
    <t>46.523.023/0001-81</t>
  </si>
  <si>
    <t>2.412,76</t>
  </si>
  <si>
    <t>Vara Cível - Jundiaí, SP/TJSP</t>
  </si>
  <si>
    <t>Trata-se de execução fiscal de IPTU do imóvel situado à Avenida das Palmeiras, 720, APTO 207, BL 01, Portal dos Ipês III, Cajamar/SP, CEP 12301-000. Exercícios 2022, 2023 e 2024.</t>
  </si>
  <si>
    <t>CAJAMAR Q6A_ENCANTO</t>
  </si>
  <si>
    <t>MUNICIPIO DE CAJAMAR</t>
  </si>
  <si>
    <t>projuris-75225</t>
  </si>
  <si>
    <t>3000368-89.2025.8.19.0029</t>
  </si>
  <si>
    <t>CNPJ/ME 46.523.015/0001-35</t>
  </si>
  <si>
    <t>46.523.015/0001-35</t>
  </si>
  <si>
    <t>CLAUDIA GONÇALVES FERNANDES - 259.516</t>
  </si>
  <si>
    <t>2.450,98</t>
  </si>
  <si>
    <t>Vara da Fazenda Pública - Barueri, SP/TJSP</t>
  </si>
  <si>
    <t>Trata-se de execução fiscal de IPTU do imóvel situado à Avenida Parkinson, 35, APTO 1401, Green Valley, Alphaville, Barueri/SP, CEP 06465-136. Exercícios 2019 e 2020.</t>
  </si>
  <si>
    <t>GREEN VALLEY RES. 01_BCP</t>
  </si>
  <si>
    <t>MUNICIPIO DE BARUERI</t>
  </si>
  <si>
    <t>projuris-75224</t>
  </si>
  <si>
    <t>0001283-97.2021.8.19.0202</t>
  </si>
  <si>
    <t>CPF/ME 14769317719</t>
  </si>
  <si>
    <t>14769317719</t>
  </si>
  <si>
    <t>Vara do Juizado Especial Cível - Magé, RJ/TJRJ</t>
  </si>
  <si>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 (vinte mil reais), em razão da falha na prestação de serviço e dos transtornos causados a condômina. Valor da Causa R$ 20.000,00.</t>
  </si>
  <si>
    <t>JEAN DE ANDRADE FRANKLIN</t>
  </si>
  <si>
    <t>projuris-75222</t>
  </si>
  <si>
    <t>0019369-87.2019.8.19.0202</t>
  </si>
  <si>
    <t>CPF/ME 033.615.597-23</t>
  </si>
  <si>
    <t>033.615.597-23</t>
  </si>
  <si>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</si>
  <si>
    <t>SÔNIA SILVA DE MATTOS</t>
  </si>
  <si>
    <t>projuris-75221</t>
  </si>
  <si>
    <t>0136761-69.2019.8.19.0001</t>
  </si>
  <si>
    <t>CPF/ME 171.061.557-56</t>
  </si>
  <si>
    <t>171.061.557-56</t>
  </si>
  <si>
    <t>JAMERSON PERES ESTEVES</t>
  </si>
  <si>
    <t>projuris-75220</t>
  </si>
  <si>
    <t>3050454-51.2025.8.19.0001</t>
  </si>
  <si>
    <t>CPF/ME 15004085730</t>
  </si>
  <si>
    <t>15004085730</t>
  </si>
  <si>
    <t>FELIPE BERTO DA SILVA - 2261</t>
  </si>
  <si>
    <t>FELIPE BERTO DA SILVA - 169275, FELIPE BERTO DA SILVA - 2261</t>
  </si>
  <si>
    <t>Trata-se indenização por danos morais, referente ao problema de falta d'água e a interdição do imóvel pela Defesa Civil até 10/07/2024, em razão da irregularidade da execução da obra dos reservatórios de água. Sendo assim, requer que: I) A condenação da parte Ré ao pagamento de indenização por danos morais, no valor de R$30.000,00 (trinta mil reais). Valor da Causa R$ 30.000,00.</t>
  </si>
  <si>
    <t>PAULO VICTOR DA SILVA RAMOS TORRES</t>
  </si>
  <si>
    <t>projuris-75223</t>
  </si>
  <si>
    <t>0059956-06.2016.8.09.0051</t>
  </si>
  <si>
    <t>CPF/ME 755.614.761-49</t>
  </si>
  <si>
    <t>755.614.761-49</t>
  </si>
  <si>
    <t>ISADORA PIRETTI TEODORO MARQUES - 065.048</t>
  </si>
  <si>
    <t>20.000,00</t>
  </si>
  <si>
    <t>Especial</t>
  </si>
  <si>
    <t>6ª Vara do Juizado Especial Cível - Goiânia, GO/TJGO</t>
  </si>
  <si>
    <t>Descumprimento da Oferta</t>
  </si>
  <si>
    <t>Trata-se de Ação Indenizatória proposta em razão do atraso na entrega do clube de lazer do condomínio, que ainda não foi entregue.
Os Autores adquiriram a unidade 903, do bloco Invent Joy, em 2021, de Roger Martins Vasconcelos, que comprou a unidade em 2018, da empresa Global Center Empreendimentos Imobiliários LTDA, que recebeu a unidade por meio de dação em pagamento em 2016.</t>
  </si>
  <si>
    <t>INVENT COND JOY_NOVO HORIZONTE_C 03</t>
  </si>
  <si>
    <t>ERBE INCORPORADORA 046 LTDA.</t>
  </si>
  <si>
    <t>CLAUDIO COSTA DE PAULA</t>
  </si>
  <si>
    <t>projuris-75219</t>
  </si>
  <si>
    <t>1058147-75.2021.4.01.3500</t>
  </si>
  <si>
    <t>CNPJ/ME 46.523.122/0001-63</t>
  </si>
  <si>
    <t>46.523.122/0001-63</t>
  </si>
  <si>
    <t>ALEX ARAUJO DOS SANTOS - 303.924</t>
  </si>
  <si>
    <t>10.056,58</t>
  </si>
  <si>
    <t>Vara das Execuções Fiscais - Taboão da Serra, SP/TJSP</t>
  </si>
  <si>
    <t>Trata-se de Execução Fiscal
Enderenço: Estrada São francisco, 1588,  Jardim Beatriz. Taboão da Serra/SP - CEP: 06765-000
Natureza: IPTU/TX.COLETA LIXO
Exercício: 2019, 2020, 2021, 2022</t>
  </si>
  <si>
    <t>COLINAS DO SOL_PAISAGENS</t>
  </si>
  <si>
    <t>MUNICÍPIO DE TABOÃO DA SERRA</t>
  </si>
  <si>
    <t>projuris-75214</t>
  </si>
  <si>
    <t>3046236-77.2025.8.19.0001</t>
  </si>
  <si>
    <t>2.760,95</t>
  </si>
  <si>
    <t>Trata-se de execução fiscal de IPTU, exercício 2021 e 2024 do imóvel situado à Avenida dos Mananciais, nº 1501, APT 0503, BLC 5, Taquara, Rio de Janeiro/RJ, CEP 22720-400.</t>
  </si>
  <si>
    <t>MIO RESIDENCIAL_MANANCIAIS_F2</t>
  </si>
  <si>
    <t>projuris-75208</t>
  </si>
  <si>
    <t>0093561-27.2004.8.05.0001</t>
  </si>
  <si>
    <t>2.912,14</t>
  </si>
  <si>
    <t>Trata-se de execução fiscal IPTU, exercício 2021 do imóvel situado à Avenida Ator Jose Wilker, nº 400, Ala B, APT 302, BLC 1, Jacarepaguá, Rio de Janeiro/RJ, CEP 22775-024</t>
  </si>
  <si>
    <t>SOHO RESIDENCE_BLOCO 1 (FASE 2)</t>
  </si>
  <si>
    <t>projuris-75194</t>
  </si>
  <si>
    <t>1023151-74.2020.8.26.0002</t>
  </si>
  <si>
    <t>2.950,49</t>
  </si>
  <si>
    <t>Trata-se de execução fiscal de IPTU, exercício 2021, do imóvel situado à Avenida Ator Jose Wilker, 400, ala B, APT 304, BLC 1, Jacarepaguá, Rio de Janeiro/RJ - CEP 22775-024.</t>
  </si>
  <si>
    <t>SOHO RESIDENCE</t>
  </si>
  <si>
    <t>projuris-75210</t>
  </si>
  <si>
    <t>0806549-85.2021.8.12.0021</t>
  </si>
  <si>
    <t>4.394,02</t>
  </si>
  <si>
    <t>Trata-se de execução fiscal de IPTU, exercícios 2021 e 2024, do imóvel situado à Rua Silvia Pozzana, nº 240, APT 212, BLC 6, Recreio dos Bandeirantes, Rio de Janeiro/RJ, CEP 22790-671.</t>
  </si>
  <si>
    <t>ONDA CARIOCA_RECREIO LT 5 E 6</t>
  </si>
  <si>
    <t>projuris-75207</t>
  </si>
  <si>
    <t>0040894-53.2025.8.16.0185</t>
  </si>
  <si>
    <t>4.504,90</t>
  </si>
  <si>
    <t>Trata-se de execução fiscal de IPTU, exercício 2021, do imóvel situado à Rua Sabato Magaldi (Critico de TE) nº 370, APT 0813, BLC 1, Jacarepaguá, Rio de Janeiro/RJ, CEP 22775-040.</t>
  </si>
  <si>
    <t>projuris-75201</t>
  </si>
  <si>
    <t>0806620-87.2021.8.12.0021</t>
  </si>
  <si>
    <t>4.999,40</t>
  </si>
  <si>
    <t>Trata-se de execução fiscal IPTU, exercícios 2021, 2022 e 2023 do imóvel situado à Rua Silvia Pozzana, nº 240, APT 0305, BLC 2, Recreio dos Bandeirantes, Rio de Janeiro/RJ, CEP 22790-671</t>
  </si>
  <si>
    <t>projuris-75191</t>
  </si>
  <si>
    <t>4007331-37.2025.8.26.0309</t>
  </si>
  <si>
    <t>5.355,03</t>
  </si>
  <si>
    <t>Trata-se de execução fiscal IPTU, exercícios 2021 e 2022 do imóvel situado à Avenida Tim Maia, nº 7285,  APT 0302, BLC 2, Recreio dos Bandeirantes, Rio de Janeiro/RJ, CEP 22790-669.</t>
  </si>
  <si>
    <t>DAMAI_RECREIO</t>
  </si>
  <si>
    <t>projuris-75197</t>
  </si>
  <si>
    <t>0118290-63.2003.8.26.0100</t>
  </si>
  <si>
    <t>7.246,64</t>
  </si>
  <si>
    <t>Trata-se de execução fiscal de IPTU, exercícios 2021, 2022, 2023 e 2024 do imóvel situado na Rua da Conceição, nº 165, box 458, Centro, Rio de Janeiro/RJ, CEP 20080-031.</t>
  </si>
  <si>
    <t>EDIFICIO GARAGEM PIT STOP</t>
  </si>
  <si>
    <t>projuris-75209</t>
  </si>
  <si>
    <t>0042044-69.2025.8.16.0185</t>
  </si>
  <si>
    <t>7.640,00</t>
  </si>
  <si>
    <t>Trata-se de execução fiscal IPTU, exercícios 2021, 2022, 2023 e 2024 do imóvel situado à Avenida Ator Jose Wilker, nº 605, BLC 1 C SAL 0663, Jacarepagua, Rio
de Janeiro, RJ, CEP: 22775-024</t>
  </si>
  <si>
    <t>ONE WORLD OFFICES_MATERT. 45NO</t>
  </si>
  <si>
    <t>projuris-75202</t>
  </si>
  <si>
    <t>3042271-91.2025.8.19.0001</t>
  </si>
  <si>
    <t>7.990,16</t>
  </si>
  <si>
    <t>Trata-se de execução fiscal de IPTU, exercícios 2021, 2022, 2023 e 2024, do imóvel situado à Rua A PAA 12089/PAL 46953 Nº 158, CAS 0027, Freguesia (Jacarepagua), Rio de Janeiro, RJ, CEP: 22743-730</t>
  </si>
  <si>
    <t>projuris-75203</t>
  </si>
  <si>
    <t>0127403-65.2008.8.26.0100</t>
  </si>
  <si>
    <t>Trata-se de execução fiscal de IPTU, exercícios 2021, 2022, 2023 e 2024, do imóvel situado à Rua A PAA 12089/PAL 46953 Nº 158, CAS 0027, Freguesia (Jacarepaguá), Rio de Janeiro, RJ, CEP: 22743-730</t>
  </si>
  <si>
    <t>projuris-75204</t>
  </si>
  <si>
    <t>3044128-75.2025.8.19.0001</t>
  </si>
  <si>
    <t>Trata-se de execução fiscal IPTU, exercício 2021, 2022, 2023 e 2024 do imóvel situado à Rua A PAA 12089/PAL 46953 Nº 158, CAS 0027, Freguesia(Jacarepagua), Rio de Janeiro, RJ, CEP: 22743-730</t>
  </si>
  <si>
    <t>projuris-75195</t>
  </si>
  <si>
    <t>5243384-27.2021.8.09.0051</t>
  </si>
  <si>
    <t>9.216,42</t>
  </si>
  <si>
    <t>Trata-se de execução fiscal IPTU, exercício 2021, 2022, 2023 e 2024 do imóvel situado à Avenida Ator José Wilker, nº 605, BLC 1A, SAL 0730, Jacarepaguá, Rio de Janeiro/RJ, CEP 22775-024.</t>
  </si>
  <si>
    <t>projuris-75192</t>
  </si>
  <si>
    <t>0008886-63.2018.8.19.0030</t>
  </si>
  <si>
    <t>Trata-se de execução fiscal de IPTU, exercício 2021, 2022, 2023 e 2024, do imóvel situado à Avenida Ator José Wilker, nº 605, BLC 1 A, SAL 803, Jacarepaguá, Rio de Janeiro/RJ - CEP 22775-024.</t>
  </si>
  <si>
    <t>projuris-75205</t>
  </si>
  <si>
    <t>3045680-75.2025.8.19.0001</t>
  </si>
  <si>
    <t>8.871,73</t>
  </si>
  <si>
    <t>Trata-se de execução fiscal IPTU, exercício 2021, 2022, 2023 e 2024, situado à Avenida Júlio de Sá Bierrenbach (alm), nº 200, BLC 1A, SAL 515A, Jacarepaguá, Rio de Janeiro/RJ, CEP 22775-028.</t>
  </si>
  <si>
    <t>WORLDWIDE OFFICES</t>
  </si>
  <si>
    <t>projuris-75196</t>
  </si>
  <si>
    <t>3045681-60.2025.8.19.0001</t>
  </si>
  <si>
    <t>14.339,50</t>
  </si>
  <si>
    <t>Trata-se de execução fiscal IPTU, exercício 2021, 2022, 2023 e 2024 do imóvel situado à Avenida Ator José Wilker, nº 605, BLC 1 A, SAL 0216, Jacarepaguá, Rio de Janeiro/RJ, CEP 22775-024.</t>
  </si>
  <si>
    <t>projuris-75193</t>
  </si>
  <si>
    <t>0805606-73.2018.8.12.0021</t>
  </si>
  <si>
    <t>17.751,74</t>
  </si>
  <si>
    <t>Trata-se de execução fiscal IPTU, exercício 2021, 2022, 2023 e 2024 do imóvel situado à Avenida Ator José Wilker, nº 605, BLC 1B, SAL 0759, Jacarepaguá, Rio de Janeiro/RJ, CEP 22775-024.</t>
  </si>
  <si>
    <t>projuris-75190</t>
  </si>
  <si>
    <t>1539586-20.2025.8.26.0090</t>
  </si>
  <si>
    <t>30.317,63</t>
  </si>
  <si>
    <t>Trata-se de execução fiscal IPTU, exercícios 2021, 2022, 2023 e 2024 do imóvel situado à Avenida Prefeito Dulcidio Cardoso, nº 11100, APT 104, Barra da Tijuca, Rio de Janeiro/RJ, CEP 22793-012.</t>
  </si>
  <si>
    <t>PRAIA DE ITAUNA</t>
  </si>
  <si>
    <t>projuris-75198</t>
  </si>
  <si>
    <t>0808612-81.2025.8.19.0075</t>
  </si>
  <si>
    <t>32.091,10</t>
  </si>
  <si>
    <t>Trata-se de execução fiscal de IPTU, exercícios 2021, 2022, 2023 e 2024 do imóvel situado à Avenida Ator José Wilker, nº 605, BLC 1B, Sala 1125, Jacarepaguá, Rio de Janeiro/RJ, CEP 22775-024</t>
  </si>
  <si>
    <t>projuris-75200</t>
  </si>
  <si>
    <t>0808609-29.2025.8.19.0075</t>
  </si>
  <si>
    <t>59.732,07</t>
  </si>
  <si>
    <t>Trata-se de execução fiscal de IPTU, dos exercícios 2021, 2022, 2023 e 2024.
Imóvel situado à Avenida Jardins de Santa Monica, nº 100, APT 0302 BLC 3, Barra da Tijuca, Rio de Janeiro/RJ, CEP: 22793-095</t>
  </si>
  <si>
    <t>SANTA MONICA JARDINS COND. F1</t>
  </si>
  <si>
    <t>projuris-75211</t>
  </si>
  <si>
    <t>6037731-69.2025.8.09.0051</t>
  </si>
  <si>
    <t>CPF/ME 958.871.998-49</t>
  </si>
  <si>
    <t>958.871.998-49</t>
  </si>
  <si>
    <t>Trata-se de ação de obrigação de fazer, movida por ANGELO MELLIOS relativo à unidade 
autônoma SC 1511, integrante do Condomínio Art Work Domingos de Morais, situado 
na Rua Domingos de Morais, nº 2.781, Saúde, São Paulo/SP., pretendendo outorga da ESCRITURA PÚBLICA 
DEFINITIVA ou adjudicação, com fixação de multa diária em valor suficiente a superar a resistência 
injustificada da Ré, custas e honorários.</t>
  </si>
  <si>
    <t>ART WORK_DOMINGOS DE MORAES</t>
  </si>
  <si>
    <t>ERBE INCORPORADORA 108 LTDA.</t>
  </si>
  <si>
    <t>ANGELO MELLIOS</t>
  </si>
  <si>
    <t>projuris-75187</t>
  </si>
  <si>
    <t>4014904-74.2025.8.26.0003</t>
  </si>
  <si>
    <t>CPF/ME 816.070.591-34</t>
  </si>
  <si>
    <t>816.070.591-34</t>
  </si>
  <si>
    <t>DANILO GAIVA MAGALHAES DOS SANTOS - 018.472.391-45</t>
  </si>
  <si>
    <t>100.000,00</t>
  </si>
  <si>
    <t>MT</t>
  </si>
  <si>
    <t>11ª Vara Cível - Cuiabá, MT/TJMT</t>
  </si>
  <si>
    <t>Trata-se de Ação indenizatória, proposta em razão do atraso na entrega da unidade 1.701, Bloco A, do Empreendimento Alvorada Cuiabá.
Os Autores requereram (i) a devolução dos valores pagos atualizados; (ii) indenização por danos morais no importe de R$ 20.839,82; e, (iii) honorários sucumbenciais equivalente à 20% do valor da condenação.
Conforme informações do Collect, o contrato foi distratado via leilão e a unidade foi adjudicada em 29/07/2016.</t>
  </si>
  <si>
    <t>ALVORADA CUIABÁ_CON QD5_F1_BL A</t>
  </si>
  <si>
    <t>CLEIDE FERREIRA DA SILVA COSTA</t>
  </si>
  <si>
    <t>projuris-75183</t>
  </si>
  <si>
    <t>0808123-44.2025.8.19.0075</t>
  </si>
  <si>
    <t>Procedimento Administrativo</t>
  </si>
  <si>
    <t>Administrativo</t>
  </si>
  <si>
    <t>Administrativo - Araras, SP/Administrativo</t>
  </si>
  <si>
    <t>intimação do terceiro interessado ERBE INCORPORADORA 001 S.A. da penhora do domínio útil do imóvel de matrícula nº 157.094, bem como do prazo de 15 dias para oposição de embargos, nos termos do seguinte despacho transcrito:</t>
  </si>
  <si>
    <t>EXPANDE COMÉRCIO E SERVIÇOS DE INFORMÁTICA LTDA</t>
  </si>
  <si>
    <t>projuris-75179</t>
  </si>
  <si>
    <t>0004768-48.2014.8.26.0108</t>
  </si>
  <si>
    <t>CPF/ME 043.400.551-74</t>
  </si>
  <si>
    <t>043.400.551-74</t>
  </si>
  <si>
    <t>MARIANA DE OLIVEIRA PÁDUA - 039.150</t>
  </si>
  <si>
    <t>MARIANA DE OLIVEIRA PÁDUA - 039.150, BRUNA DANIELLE DE PAULA REZENDE - 036.770</t>
  </si>
  <si>
    <t>40.000,00</t>
  </si>
  <si>
    <t>Vara do Juizado Especial Cível - Goiânia, GO/TJGO</t>
  </si>
  <si>
    <t>Trata-se de AÇÃO DE REPARAÇÃO POR DANOS MORAIS, referente a unidade apartamento 1404, Bloco Invent Joy C-4, Residencial Invent Total Club.
O autor alega que houve uma promessa de entrega de um club de lazer no empreendimento, no entanto, o club nunca foi entregue.
Sendo assim, requer: A Condenação das partes rés ao pagamento de indenização por danos morais no valor de R$ 40.000,00 (Quarenta Mil Reais), em decorrência do fato dos Requeridos terem maldosamente realizado propaganda enganosa e tomado recursos das partes Autoras com promessa enganosa de entrega de área de lazer, asseverado com o fato de reterem de forma injustificada os recursos da construção e pelo total desinteresse dos Requeridos que permanecem inertes causando aos Autores sentimento de impotência, engodo, desrespeito e abuso de confiança, afetando fortemente sua honra;</t>
  </si>
  <si>
    <t>INVENT COND JOY_NOVO HORIZONTE_C 04</t>
  </si>
  <si>
    <t>DAYSA FERNANDA FERREIRA GONCALVES VIANA</t>
  </si>
  <si>
    <t>projuris-75180</t>
  </si>
  <si>
    <t>0027837-58.2015.8.19.0209</t>
  </si>
  <si>
    <t>CNPJ/ME 29.138.351/0001-45</t>
  </si>
  <si>
    <t>29.138.351/0001-45</t>
  </si>
  <si>
    <t>512,47</t>
  </si>
  <si>
    <t>Vara das Execuções Fiscais - Magé, RJ/TJRJ</t>
  </si>
  <si>
    <t>Trata-se de Execução Fiscal.
A. Ator José Wilker -Nº: 605 - Compl: BLOCO 1 SALA 1017 - Jacarepaguá - Rio de Janeiro/RJ - CEP 22775024
Natureza: IPTU
Exercicio: 2020</t>
  </si>
  <si>
    <t>PREFEITURA DO MUNICIPIO DE MAGE</t>
  </si>
  <si>
    <t>projuris-75166</t>
  </si>
  <si>
    <t>0000887-93.2025.8.26.0038</t>
  </si>
  <si>
    <t>570,65</t>
  </si>
  <si>
    <t>Trata-se de Execução Fiscal.
Av. Ator José Wilker -Nº: 605 - Compl: BLOCO 1 SALA 1017 - Jacarepaguá - Rio de Janeiro/RJ - CEP 22775024
Natureza: IPTU
Exercicio: 2020</t>
  </si>
  <si>
    <t>projuris-75167</t>
  </si>
  <si>
    <t>4062368-94.2025.8.26.0100</t>
  </si>
  <si>
    <t>CNPJ/ME 76.417.005/0001-86</t>
  </si>
  <si>
    <t>76.417.005/0001-86</t>
  </si>
  <si>
    <t>3.413,28</t>
  </si>
  <si>
    <t>PR</t>
  </si>
  <si>
    <t>Vara das Execuções Fiscais - Curitiba, PR/TJPR</t>
  </si>
  <si>
    <t>Trata-se de execução fiscal.
Enderenço: R. ROMÉDIO DORIGO, nº 000085, bairro ÁGUA VERDE, CURITIBA-PR, CEP 80620140
Anos 					Natureza
2023 R$ 894,50 23/01/2024 - 149422 IPTU - Lei Comp. 40/2001 Art. 32 
2023 R$ 389,40 23/01/2024 - 295576 TAXA LIXO - Lei Comp. 40/2001 Art. 54,INC.II 
2024 R$ 709,39 03/01/2025 - 119261 IPTU - Lei Comp. 40/2001 Art. 32 
2024 R$ 407,63 03/01/2025 - 256618 TAXA LIXO - Lei Comp. 40/2001 Art. 54,INC.II</t>
  </si>
  <si>
    <t>YOUNIQUE_AGUA VERDE</t>
  </si>
  <si>
    <t>PREFEITURA DO MUNICIPIO DE CURITIBA</t>
  </si>
  <si>
    <t>projuris-75170</t>
  </si>
  <si>
    <t>3035521-73.2025.8.19.0001</t>
  </si>
  <si>
    <t>14.382,00</t>
  </si>
  <si>
    <t>Trata-se de execução fiscal
Enderenço: AL DOS JURUPIS 00896 AP 125, INDIANOPOLIS BLOCO A 04088-002 - SAO PAULO - SP
Exercício: 2021, 2022 e 2023 
Natureza: IPTU - IMPOSTO SOBRE A PROPRIEDADE PREDIAL E TERRITORIAL URBANA</t>
  </si>
  <si>
    <t>TWIN TOWERS</t>
  </si>
  <si>
    <t>projuris-75175</t>
  </si>
  <si>
    <t>0035522-02.2012.4.02.5101</t>
  </si>
  <si>
    <t>17.895,00</t>
  </si>
  <si>
    <t>Trata-se de execução fiscal
Enderenço: AV JAMARIS 00100 AP 1201 PLANALTO PAULISTA COLONNADE FLAT 04078-000 - SAO PAULO - SP
Exercício: 2023 e 2024
Natureza: IPTU - IMPOSTO SOBRE A PROPRIEDADE PREDIAL E TERRITORIAL URBANA</t>
  </si>
  <si>
    <t>TIME SQUARE</t>
  </si>
  <si>
    <t>projuris-75172</t>
  </si>
  <si>
    <t>0018329-65.2018.8.19.0021</t>
  </si>
  <si>
    <t>20.781,00</t>
  </si>
  <si>
    <t>Trata-se de execução fiscal
Enderenço: AL DOS JURUPIS 00900 AP 163 E 3 VG INDIANOPOLIS VARANDA DOS LAGOS 04088-002 - SAO PAULO - SP
Exercício: 2023 e 2024
Natureza: IPTU - IMPOSTO SOBRE A PROPRIEDADE PREDIAL E TERRITORIAL URBANA</t>
  </si>
  <si>
    <t>IBIRAPUERA CONDOMINIUM CLUB</t>
  </si>
  <si>
    <t>projuris-75174</t>
  </si>
  <si>
    <t>0807968-43.2021.8.12.0021</t>
  </si>
  <si>
    <t>23.377,00</t>
  </si>
  <si>
    <t>Trata-se de execução fiscal.
Enderenço: AL DOS JURUPIS 00900 AP 184 E 4 VG SP INDIANOPOLIS VARANDA DOS PASSAROS
Exercício: 2023
Natureza: IPTU - IMPOSTO SOBRE A PROPRIEDADE PREDIAL E TERRITORIAL URBANA</t>
  </si>
  <si>
    <t>projuris-75169</t>
  </si>
  <si>
    <t>1544026-59.2025.8.26.0090</t>
  </si>
  <si>
    <t>28.252,00</t>
  </si>
  <si>
    <t>Trata-se de execução fiscal.
Enderenço: AV JUREMA 00200 AP 64 INDIANOPOLIS ED ONIX 04079-000 - SAO PAULO - SP
Exercício: 2023 e 2024
Natureza: IPTU - IMPOSTO SOBRE A PROPRIEDADE PREDIAL E TERRITORIAL URBANA</t>
  </si>
  <si>
    <t>CLASSIC COND. CLUB</t>
  </si>
  <si>
    <t>projuris-75168</t>
  </si>
  <si>
    <t>1008415-33.2018.4.01.3500</t>
  </si>
  <si>
    <t>38.939,00</t>
  </si>
  <si>
    <t>Trata-se de execução fiscal
Enderenço: AV JUREMA 00200 AP 81 INDIANOPOLIS ED AMETISTA 04079-000 - SAO PAULO - SP
Exercício: 2022, 2023 e 2024
Natureza: IPTU - IMPOSTO SOBRE A PROPRIEDADE PREDIAL E TERRITORIAL URBANA</t>
  </si>
  <si>
    <t>projuris-75171</t>
  </si>
  <si>
    <t>0808598-97.2025.8.19.0075</t>
  </si>
  <si>
    <t>CPF/ME 8380509722</t>
  </si>
  <si>
    <t>8380509722</t>
  </si>
  <si>
    <t>Trata-se indenização por danos morais, referente ao problema de falta d'água, gerado pela ausência da documentação necessária na reforma do Castelo de água.</t>
  </si>
  <si>
    <t>IRINALDO ALVES DA SILVA</t>
  </si>
  <si>
    <t>projuris-75176</t>
  </si>
  <si>
    <t>5997955-62.2025.8.09.0051</t>
  </si>
  <si>
    <t>CNPJ/ME 13.299.501/0001-62</t>
  </si>
  <si>
    <t>13.299.501/0001-62</t>
  </si>
  <si>
    <t>VAGNER CLAYTON TALIARO - 6554</t>
  </si>
  <si>
    <t>4.268,78</t>
  </si>
  <si>
    <t>Execução Extrajudicial</t>
  </si>
  <si>
    <t>5ª Vara Cível - Jundiaí, SP/TJSP</t>
  </si>
  <si>
    <t>Trata-se de EXECUÇÃO DE TÍTULO EXTRAJUDICIAL, referente a cota condominiais da unidade 020 DI LUCCA.
O autor alega que, até a presente data, os executados estão em atraso com o pagamento das despesas condominiais, totalizando um valor de R$ 4.268,78 (quatro mil duzentos e sessenta e oito reais e setenta e oito centavos) este débito é resultante da inadimplência por parte do condômino em relação as suas despesas condominiais não pagas.
Sendo assim, requer que: I) O processamento da presente ação de execução nos termos dos artigos 783 e seguintes do CPC, julgando a presente execução "in totum", condenando o executado ao pagamento integral do valor principal com os seus acréscimos legais no montante de R$ 4.268,78,</t>
  </si>
  <si>
    <t>BELLA COLÔNIA F1</t>
  </si>
  <si>
    <t>CONDOMINIO BELVEDERE DI LUCCA E BELVEDERE TREVISO</t>
  </si>
  <si>
    <t>projuris-75165</t>
  </si>
  <si>
    <t>1544092-39.2025.8.26.0090</t>
  </si>
  <si>
    <t>ANA BEATRIZ BALAN VILLELA - PR031401</t>
  </si>
  <si>
    <t>4.773,32</t>
  </si>
  <si>
    <t>2ª Vara das Execuções Fiscais - Curitiba, PR/TJPR</t>
  </si>
  <si>
    <t>Trata-se de execução fiscal 
Endereço: R. LEÃO SALLUM, nº 000526, bairro BOA VISTA, CURITIBA-PR, CEP 82540050
Exercício: 2024
Natureza: IPTU
CERTIDÃO DE DÍVIDA ATIVA</t>
  </si>
  <si>
    <t>YARD COMFORT_BOA VISTA_F1</t>
  </si>
  <si>
    <t>projuris-75160</t>
  </si>
  <si>
    <t>3039351-47.2025.8.19.0001</t>
  </si>
  <si>
    <t>Construction</t>
  </si>
  <si>
    <t>CNPJ/ME 12.778.653/0001-85</t>
  </si>
  <si>
    <t>12.778.653/0001-85</t>
  </si>
  <si>
    <t>CARLO VERONA - 169.508</t>
  </si>
  <si>
    <t>MARIANA ISSA CARTEREAU - 504.940, CARLO VERONA - 169.508</t>
  </si>
  <si>
    <t>0,11</t>
  </si>
  <si>
    <t>13ª Vara Cível - São Paulo, SP/TJSP</t>
  </si>
  <si>
    <t>Vício Construtivo - Área Comum</t>
  </si>
  <si>
    <t>Trata-se de AÇÃO DE OBRIGAÇÃO DE FAZER com TUTELA ANTECIPADA promovida pelo CONDOMÍNIO BROOKLIN PARK SPA &amp; CLUB em face de ERBE INCORPORADORA S.A., CNPJ 07.700.557/0001-84, com pedido liminar para que a Cia realize o reparo definitivo do Sistema Predial de Aquecimento ou subsidiariamente seja o Condomínio autorizado a realizar os serviços necessários para o reparo definitivo do Sistema Predial de Aquecimento, com posterior apresentação dos valores incorridos e pedido de indenização por danos materiais nesses autos. Valor da Causa R$ 10.000,00.
** OUTRA AÇÃO: Produção Antecipada de Provas nº 1002592-33.2019.8.26.0002 cujo laudo concluiu que "o consumo excessivo de gás com aquecimento de água está diretamente relacionado a falhas no isolamento térmico de tubos, conexões e demais componentes do sistema predial de água quente, seja por falha na colocação dos isolantes e mesmo inexistência de isolamento térmico. Também contribui expressivamente para o consumo excessivo de gás para o aquecimento da água a introdução da água quente na tubulação de água fria por diferentes vias descritas".</t>
  </si>
  <si>
    <t>BROOKLIN PARK</t>
  </si>
  <si>
    <t>CORREIA FLEURY GAMA E SILVA</t>
  </si>
  <si>
    <t>CONDOMÍNIO BROOKLIN PARK SPA &amp; CLUB</t>
  </si>
  <si>
    <t>projuris-75159</t>
  </si>
  <si>
    <t>1041468-34.2020.4.01.3500</t>
  </si>
  <si>
    <t>CNPJ/ME 13.927.801/0001-49</t>
  </si>
  <si>
    <t>13.927.801/0001-49</t>
  </si>
  <si>
    <t>2.289,44</t>
  </si>
  <si>
    <t>BA</t>
  </si>
  <si>
    <t>13ª Vara da Fazenda Pública - Salvador, BA/TJBA</t>
  </si>
  <si>
    <t>Trata-se de Execução Fiscal.
Endereço: Rua Alceu Amoroso Lima, 668 - Caminho das Árvores, Salvador/BA, CEP: 41.820-770
Natureza: IPTU e Taxa de Coleta
Exercicio: 2015, 2016, 2017
Ao que se verifica, os compradores do imóvel estão se manifestando nos autos sobre a informação.</t>
  </si>
  <si>
    <t>AMÉRICA MULTIEMPRESARIAL</t>
  </si>
  <si>
    <t>MUNICIPIO DE SALVADOR</t>
  </si>
  <si>
    <t>projuris-75158</t>
  </si>
  <si>
    <t>3000571-51.2025.8.19.0029</t>
  </si>
  <si>
    <t>17.466,42</t>
  </si>
  <si>
    <t>Trata-se de execução fiscal
Natureza: IPTU
Exercício/livro/inscrição na dívida ativa(s): 202201460012684,  202201460012954,  202201460012955
Endereço: RUA BONNARD, , - QUADRA - B LOTE 04 GREEN VALLEY I / ALPHAVILLE - Barueri/SP
Exercício: 2022</t>
  </si>
  <si>
    <t>THE GARDEN GRAMERCY PARK</t>
  </si>
  <si>
    <t>projuris-75157</t>
  </si>
  <si>
    <t>0807977-05.2021.8.12.0021</t>
  </si>
  <si>
    <t>CPF/ME 009.097.541-36</t>
  </si>
  <si>
    <t>009.097.541-36</t>
  </si>
  <si>
    <t>JAQUELINE CASTANHEIRA MUNDIM - 3120</t>
  </si>
  <si>
    <t>8ª Vara Federal - Goiás, GO/Justiça Federal</t>
  </si>
  <si>
    <t>Trata-se de ação de indenização danos patrimoniais e morais, referente a unidade 101, bloco H, residencial Jasmim, residenciais jardins do cerrado 7.
O autor alega que após a entrega da unidade, a parte autora constatou diversos vícios na construção.
Sendo assim, requer que: o pagamento do valor necessário ao necessário concerto dos danos ao seu apartamento, o pagamento de indenização por danos Moraes não inferior a 60 salários mínimos.</t>
  </si>
  <si>
    <t>JARDIM DO CERRADO BLOCOS_F2</t>
  </si>
  <si>
    <t>LUCIANA APARECIDA DA SILVA RIBEIRO TAVARES</t>
  </si>
  <si>
    <t>projuris-75156</t>
  </si>
  <si>
    <t>0008949-62.2016.4.01.3500</t>
  </si>
  <si>
    <t>CNPJ/ME 18.064.073/0001-02</t>
  </si>
  <si>
    <t>18.064.073/0001-02</t>
  </si>
  <si>
    <t>EDSON ALEXANDRE SILVA PESSOA - 019.677.831-01</t>
  </si>
  <si>
    <t>Produção antecipada de Provas</t>
  </si>
  <si>
    <t>Cautelar</t>
  </si>
  <si>
    <t>DF</t>
  </si>
  <si>
    <t>1ª Vara Cível - Águas Claras, DF/TJDFT</t>
  </si>
  <si>
    <t>Trata-se de AÇÃO DE PRODUÇÃO ANTECIPADA DE PROVA.
O autor alega que enfrentar recorrentes anomalias estruturais e falhas de funcionamento nos elevadores das diversas torres, motivo esse, que fez o autor solicitar avaliação especializada.
O laudo técnico conclui que as patologias encontradas comprometem a integridade das vigas de travamento do poço dos elevadores e que a condição atual dos elementos estruturais demanda avaliação complementar por meio de cálculos estruturais, podendo ser necessário o reforço ou o redesenho dos elementos afetados. Ressalta, ainda, que a manutenção das condições constatadas representa risco potencial à segurança dos usuários e à estabilidade da edificação, exigindo pronta intervenção corretiva.
Sendo assim, requer que: I) A concessão da produção antecipada de prova pericial, determinando-se a realização de perícia de engenharia civil e estrutural destinada a avaliar, diagnosticar e quantificar, com rigor técnico, as patologias construtivas constatadas nas vigas de travamento dos poços dos elevadores, especialmente aquelas decorrentes de escarificações indevidas, exposição de armaduras, perda de seção resistente e demais intervenções incompatíveis com as normas NBR 6118 e correlatas, com a consequente nomeação de perito engenheiro civil/estrutural de confiança deste Juízo para condução integral dos trabalhos periciais</t>
  </si>
  <si>
    <t>RIV. DEI FIORI_QD 107_BL A</t>
  </si>
  <si>
    <t>CONDOMINIO RESIDENCIAL RIVIERA DEI FIORI</t>
  </si>
  <si>
    <t>projuris-75151</t>
  </si>
  <si>
    <t>0725197-10.2025.8.07.0020</t>
  </si>
  <si>
    <t>CPF/ME 869.894.997-53</t>
  </si>
  <si>
    <t>869.894.997-53</t>
  </si>
  <si>
    <t>ALEXANDRE LUIS JUDACHESKI</t>
  </si>
  <si>
    <t>5ª Vara Federal - São João de Meriti, RJ/TRF2</t>
  </si>
  <si>
    <t>Trata-se de AÇÃO INDENIZATÓRIA. Não é mencionado a unidade ou empreendimento.
O autor alega que parte autora teve o projeto da sua unidade habitacional executado pela Caixa Econômica Federal, no âmbito do Fundo de Arrendamento Residencial - FAR. Ao Município incumbiu a seleção dos núcleos familiares aptos a serem beneficiados pelo PMCMV (Programa Minha Casa Minha Vida)
Ocorre que foi constatado alguns vícios construtivos existentes na sua unidade, como Fissuras nas paredes, Problemas na parte elétrica, Azulejos soltos, Pisos quebrados e com alteração de cor, Problemas nas aberturas e esquadrias e etc.
Sendo assim, requer que: condenação da demandada ao pagamento dos danos morais (TRF4, AC 5000594-56.2010.4.04.7104, TERCEIRA TURMA, Relator CARLOS EDUARDO THOMPSON FLORES LENZ) no patamar não inferior a 20 (vinte) mil reais; 3.5.2 A condenação da ré ao pagamento dos danos materiais</t>
  </si>
  <si>
    <t>RITA DE CASSIA PEREIRA DA LUZ</t>
  </si>
  <si>
    <t>projuris-75152</t>
  </si>
  <si>
    <t>5000784-84.2023.4.02.5110</t>
  </si>
  <si>
    <t>CNPJ/ME 09.420.282/0001-50</t>
  </si>
  <si>
    <t>09.420.282/0001-50</t>
  </si>
  <si>
    <t>Tibério Augusto Moura de Araujo Lima - 025.348</t>
  </si>
  <si>
    <t>Cobrança de valores</t>
  </si>
  <si>
    <t>CE</t>
  </si>
  <si>
    <t>Vara Cível - Fortaleza, CE/TRF5</t>
  </si>
  <si>
    <t>Cobrança</t>
  </si>
  <si>
    <t>Trata-se de RECLAMAÇÃO PRÉ-PROCESSUAL.
O Autor está cobrando débito com anuidades/multas as quais já possuem inscrição na Dívida Ativa desta Autarquia Federal.
Sendo assim, requer que: Não sendo frutífera a autocomposição, requer seja a presente Reclamação transformada em Execução Fiscal e redistribuído às varas de Execução Fiscal do Estado do Ceará, conforme determinado pelo artigo 7º, caput e parágrafo 2º c/c artigo 11, caput e parágrafo 2º, todos da Portaria nº 147/2018 da Justiça Federal do Ceará.</t>
  </si>
  <si>
    <t>CONSELHO REGIONAL DE CORRETORES DE IMÓVEIS - CRECI-  CE</t>
  </si>
  <si>
    <t>projuris-75154</t>
  </si>
  <si>
    <t>0069066-64.2025.4.05.8100</t>
  </si>
  <si>
    <t>CPF/ME 024.477.001-80</t>
  </si>
  <si>
    <t>024.477.001-80</t>
  </si>
  <si>
    <t>ÉLIDA GISELE PÉREZ PINHEIRO - 029.656</t>
  </si>
  <si>
    <t>3ª Vara Cível - Águas Claras, DF/TJDF</t>
  </si>
  <si>
    <t>Vício Construtivo - Unidade Autônoma</t>
  </si>
  <si>
    <t>Trata-se de AÇÃO DE INDENIZAÇÃO POR DANOS MORAIS, MATERIAIS E OBRIGAÇÃO DE FAZER, referente a unidade 2318 Torre C, do empreendimento DF Century Plaza, situado em Águas Claras, Brasília-DF.
O autor alega que, desde novembro de 2017, o Autor vem enfrentando uma verdadeira "via crucis" com recorrentes problemas de infiltração e vazamento no banheiro e varanda do seu apartamento, que repercute em problemas nos demais cômodos: sala e quarto, agravadas por chuvas, comprometendo pintura, forro de gesso, fiação elétrica exposta (risco de curto circuito e choque), móveis (armário do banheiro e porta danificados) e causando mofo, que torna o ambiente insalubre. Além do barulho ensurdecedor, sobretudo, no período noturno, devido ao buraco que a parte ré deixou aberto no teto desde novembro 2024.
Sendo assim, requer que: i) Danos materiais, referentes aos prejuízos materiais causados pela deterioração do imóvel e danos estruturais, II) Danos morais - (Extrapatrimonial) no importe de R$ 30.000,00 (trinta mil reais), ou outro valor que Vossa Excelência entender plausível considerando os mais de 8 anos de reiterados problemas suportados pelo autor e os vícios que sabidamente a parte Requerida tem ciência e que nunca solucionou em definitivo, III) Indenização pela perda de usufruto/usufruir a integralidade do imóvel (Patrimonial), IV) Obrigação de fazer - seja realizado reparos definitivos no imóvel do autor, especialmente com relação à impermeabilização da laje, a fim de cessar a infiltração e o risco elétrico, conforme laudo técnico anexo e que Vossa Excelência determine uma data limite para a conclusão dos reparos e que a execução seja supervisionada por um engenheiro indicado pelo juízo, com multa diária de R$ 500,00 - R$ 1.000,00 em caso de descumprimento</t>
  </si>
  <si>
    <t>DF CENTURY PLAZA_COPAÍBA LT</t>
  </si>
  <si>
    <t>ERBE INCORPORADORA 077 LTDA.</t>
  </si>
  <si>
    <t>LEOMANY VINCK DE OLIVEIRA CARVALHO</t>
  </si>
  <si>
    <t>projuris-75155</t>
  </si>
  <si>
    <t>0723872-97.2025.8.07.0020</t>
  </si>
  <si>
    <t>CPF/ME 332.322.021-87</t>
  </si>
  <si>
    <t>332.322.021-87</t>
  </si>
  <si>
    <t>ARISTOCLEVERSON GOMES DIAS DOS SANTOS - 772</t>
  </si>
  <si>
    <t>2ª Vara Cível - Goiânia, GO/TJGO</t>
  </si>
  <si>
    <t>Trata-se de ação de indenização por danos materiais e morais, referente a unidade apartamento 1403 do Cond. Invent Total Club Max, Bloco A-2.
A autora alega publicidade enganosa, visto que que foi inadimplida a obrigação de entrega Clube de Lazer: a conter uma academia com 2 pavimentos. Sendo assim, requer a Condenação das partes rés ao pagamento de indenização por danos morais no valor de R$ 20.000,00 (Vinte Mil Reais) para cada autor, totalizando em R$ 40.000,00.</t>
  </si>
  <si>
    <t>INVENT COND MAX_NOVO HORIZONTE_BL A2</t>
  </si>
  <si>
    <t>AUGUSTO MARTINS FERREIRA JUNIOR</t>
  </si>
  <si>
    <t>projuris-75148</t>
  </si>
  <si>
    <t>5910501-44.2025.8.09.0051</t>
  </si>
  <si>
    <t>CPF/ME 891.706.951-72</t>
  </si>
  <si>
    <t>891.706.951-72</t>
  </si>
  <si>
    <t>1ª Vara Cível - Goiânia, GO/TJGO</t>
  </si>
  <si>
    <t>Trata-se de ação de indenização por danos materiais e morais, referente a unidade apartamento 403 do Cond. Invent Total Club Max, Bloco A-2.
A autora alega publicidade enganosa, visto que que foi inadimplida a obrigação de entrega Clube de Lazer: a conter uma academia com 2 pavimentos. Sendo assim, requer a Condenação das partes rés ao pagamento de indenização por danos morais no valor de R$ 20.000,00 (Vinte Mil Reais) para cada autor, totalizando em R$ 40.000,00.</t>
  </si>
  <si>
    <t>MARCO AURELIO CRISPIM BRAGA</t>
  </si>
  <si>
    <t>projuris-75147</t>
  </si>
  <si>
    <t>5910391-45.2025.8.09.0051</t>
  </si>
  <si>
    <t>CPF/ME 036.122.001-43</t>
  </si>
  <si>
    <t>036.122.001-43</t>
  </si>
  <si>
    <t>MS</t>
  </si>
  <si>
    <t>1ª Vara do Juizado Especial Cível - Três Lagoas, MS/TRF3</t>
  </si>
  <si>
    <t>FAR CEF - Vício Construtivo Unidade Autônoma</t>
  </si>
  <si>
    <t>Trata-se de AÇÃO INDENIZATÓRIA POR DANOS MORAIS E MATERIAIS com tutela antecipada de urgência, proposta em face da CEF e TG CENTRO-OESTE EMPREEENDIMENTOS IMOBILIÁRIOS (atual denominação da empresa BROOKFIELD MB EMPREENDIMENTOS IMOBILIÁRIOS S/A), referente ao Apartamento 202, do Bloco 17, do Condomínio Residencial Prof. Maria Meireles da Silva, Loteamento Novo Oeste. Alegam que, após a efetiva entrega das chaves e utilização normal dos imóveis, os defeitos ocultos se tornaram visíveis.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
* AÇÃO proposta em face da CEF e TG CENTRO-OESTE EMPREEENDIMENTOS IMOBILIÁRIOS (atual denominação da empresa BROOKFIELD).</t>
  </si>
  <si>
    <t>NOVO OESTE I QD07_TRÊS LAGOAS</t>
  </si>
  <si>
    <t>ROSALINA VIEIRA DA SILVA</t>
  </si>
  <si>
    <t>projuris-75149</t>
  </si>
  <si>
    <t>5001667-52.2025.4.03.6203</t>
  </si>
  <si>
    <t>CNPJ/ME 58.660.408/0001-70</t>
  </si>
  <si>
    <t>58.660.408/0001-70</t>
  </si>
  <si>
    <t>CARLOS EDUARDO TRUITE MENDES</t>
  </si>
  <si>
    <t>Perícia (pré sentença)</t>
  </si>
  <si>
    <t>Vara Cível - São Paulo, SP/TJSP</t>
  </si>
  <si>
    <t>Permutante</t>
  </si>
  <si>
    <t>Trata-se de ação de Produção Antecipada de Provas para a realização de prova pericial, sob o crivo do contraditório, visando dirimir a controvérsia existente sobre o cumprimento ou não das condições contratadas. 
A autora  alega que se comprometeu a transferir para as Requeridas o imóvel situado nesta cidade de São Paulo/SP, na Avenida Joaquina Ramalho, 408, Vila Guilherme, em troca do recebimento de R$25.000.000,00, dos quais R$8.000.000,00 foram pagos de forma parcelada e o saldo remanescente de R$17.000.000,00 seria objeto de dação em pagamento por meio da entrega de uma "loja" de 2.175m2 de área privativa construída, a ser destinada à exploração comercial. Uma vez finalizada a obra, constatou-se que há diversas anomalias estruturais/construtivas em desconformidade com o pactuado, além disso, as Requeridas insistem em exigir que a Requerente receba as chaves do imóvel, existindo, pois, relevante controvérsia acerca do cumprimento ou não das condições contratadas.  
Ante o exposto, requer-se a produção da prova pericial pretendida, com nomeação de perito de confiança desse r. Juízo, atribuindo-lhe as seguintes incumbências:
(i) identificar as "anomalias e falhas" existentes no imóvel que deverá ser entregue pelas Requeridas para a Requerente; (ii) apurar quais são as providências necessárias para a regularização dessas "anomalias e falhas", mensurando-se, inclusive, qual seria o montante gasto para tanto; e (iii) na impossibilidade de se retificar alguma "anomalia e falha", identificar qual é a depreciação decorrente da "anomalia e falha". 
Atribui-se ao presente feito o valor aleatório de R$ 10.000,00.</t>
  </si>
  <si>
    <t>TEG VILA GUILHERME_JOAQUINA RAMALHO</t>
  </si>
  <si>
    <t>ATLANTICO TRANSPORTES E TURISMO LTDA</t>
  </si>
  <si>
    <t>projuris-75143</t>
  </si>
  <si>
    <t>4050410-14.2025.8.26.0100</t>
  </si>
  <si>
    <t>CNPJ/ME 16.853.141/0001-97</t>
  </si>
  <si>
    <t>16.853.141/0001-97</t>
  </si>
  <si>
    <t>CHRISTIANE DE FÁTIMA MÜLLER - 1254</t>
  </si>
  <si>
    <t>Vara do Juizado Especial Cível - Campo Grande, MS/TJMS</t>
  </si>
  <si>
    <t>Trata-se de execução extrajudicial, referente a taxa condominiais da apto 1104, torre C.
O autor alega que a unidade possui débitos de condomínio.
Sendo assim, requer que: Promover a citação da executada no endereço supramencionado, para que no prazo de 3 (três) dias, contando da citação, conforme o art. 829, do CPC e efetue o pagamento das taxas condominiais em atraso com os encargos previstos na Convenção de Condomínio e Regimento interno no valor atualizado de R$ 23.899,3</t>
  </si>
  <si>
    <t>VITALITÁ_PARQUE SOLTER_BL C</t>
  </si>
  <si>
    <t>ERBE INCORPORADORA 079 LTDA.</t>
  </si>
  <si>
    <t>CONDOMINIO RESIDENCIAL VITALITA</t>
  </si>
  <si>
    <t>projuris-75145</t>
  </si>
  <si>
    <t>0830989-33.2025.8.12.0110</t>
  </si>
  <si>
    <t>CPF/ME 228.789.800-00</t>
  </si>
  <si>
    <t>228.789.800-00</t>
  </si>
  <si>
    <t>Trata-se de ação de indenização por danos materiais e morais, referente a unidade apartamento 903 da Torre C 6 do Setor Invent Joy.
A autora alega publicidade enganosa, visto que que foi inadimplida a obrigação de entrega Clube de Lazer: a conter uma academia com 2 pavimentos. Sendo assim, requer a Condenação das partes rés ao pagamento de indenização por danos morais no valor de R$ 20.000,00 (Vinte Mil Reais) para cada autor, totalizando em R$ 40.000,00.</t>
  </si>
  <si>
    <t>INVENT COND JOY_NOVO HORIZONTE_C 06</t>
  </si>
  <si>
    <t>MARIA JANETE VIERO DO NASCIMENTO</t>
  </si>
  <si>
    <t>projuris-75144</t>
  </si>
  <si>
    <t>5879520-32.2025.8.09.0051</t>
  </si>
  <si>
    <t>Notificação Extrajudicial</t>
  </si>
  <si>
    <t>Administrativo - Goiânia, GO/Administrativo</t>
  </si>
  <si>
    <t>Trata-se de Notificação da decisão proferida em RECURSO pela autoridade superior competente, na forma do art. 49, do Dec. Federal n.° 2.181/97, para cumprimento da sanção no prazo de 30 (trinta) dias, no caso de multa e recolhimento para o Fundo Municipal de Defesa do Consumidor, perante o Programa de Defesa do Consumidor - Procon Goiânia/GO, sob pena de inscrição em Dívida Ativa Municipal e lavratura de Protesto.
Processo SEI nº: 25.6.000019585-1
F.A: 0114-007.034-5
Processo nº: 83889543</t>
  </si>
  <si>
    <t>PREFEITURA DE GOIÂNIA</t>
  </si>
  <si>
    <t>projuris-75140</t>
  </si>
  <si>
    <t>F.A 0114-007.034-5</t>
  </si>
  <si>
    <t>Trata-se de Notificação da decisão proferida em RECURSO pela autoridade superior competente, na forma do art. 49, do Dec. Federal n.º 2.181/97, para cumprimento da sanção no prazo de 30 (trinta) dias, no caso de multa e recolhimento para o Fundo Municipal de Defesa do Consumidor, perante o Programa de Defesa do Consumidor - Procon Goiânia/GO, sob pena de inscrição em Dívida Ativa Municipal e lavratura de Protesto.
Processo SEI nº: 25.6.000019617-3
FA.: 0114.004.779-1
Processo nº: 85710028</t>
  </si>
  <si>
    <t>projuris-75141</t>
  </si>
  <si>
    <t>FA. 0114.004.779-1</t>
  </si>
  <si>
    <t>Trata-se de Ação de Indenização por danos morais, referente ao problema de falta d'água, gerado pela ausência da documentação necessária na reforma do Castelo de água.</t>
  </si>
  <si>
    <t>HYGOOR DE OLIVEIRA SOUZA</t>
  </si>
  <si>
    <t>projuris-75139</t>
  </si>
  <si>
    <t>0807691-25.2025.8.19.0075</t>
  </si>
  <si>
    <t>Anulatória</t>
  </si>
  <si>
    <t>1ª Vara Cível - Rio de Janeiro, RJ/TJRJ</t>
  </si>
  <si>
    <t>Leilão</t>
  </si>
  <si>
    <t>Trata-se de Ação Anulatória com tutela de urgência, referente ao Apartamento de nº 104 do empreendimento denominado Condomínio Praia de Itaúna. 
A autora alega que por motivos financeiros, os Autores não conseguiram mais arcar com as parcelas do financiamento e firmaram um contrato de novação em 24 de outubro de 2010, efetuandonovos pagamentos e atualizando o saldo devedor para R$ 406.594,13. Entretanto, após novo inadimplemento, a incorporadora, ora Ré, deu início ao
procedimento de execução extrajudicial. Após o registro de consolidação da propriedade, foram designados dois leilões com valores superiores ao esperado, o que restou para a autora uma evidente uma má-fé e abusividade por parte dos credores fiduciários. 
Dessa forma, a autora requer: a) A suspensão imediata dos efeitos dos leilões extrajudiciais realizados em relação ao imóvel objeto da lide, bem como do auto de adjudicação datado de 03/11/2021, impedindo qualquer ato de transferência, registro,desocupação ou alienação; b) Caso já tenha sido deferida reintegração de posse à credora fiduciária, seja determinada a manutenção ou o restabelecimento da posse do bem aos Autores, até decisão final da presente ação; c) Seja oficiado ao Cartório de Registro de Imóveis competente para que suspenda provisoriamente qualquer averbação, registro ou alienação relativa ao bem, até ulterior deliberação judicial.  d) A condenação da ré ao pagamento de perdas e danos, inclusive morais e materiais, em valor a ser apurado em liquidação, em razão do abuso de direito e do prejuízo; e) A condenação da ré ao pagamento das custas processuais e honorários advocatícios . Dá-se à causa, o valor de R$ 368.713,37</t>
  </si>
  <si>
    <t>IDMA PEREZ DE GOES PAMPOLINI</t>
  </si>
  <si>
    <t>projuris-75142</t>
  </si>
  <si>
    <t>0986897-27.2025.8.19.0001</t>
  </si>
  <si>
    <t>CPF/ME 014.285.927-33</t>
  </si>
  <si>
    <t>014.285.927-33</t>
  </si>
  <si>
    <t>ALEXANDRE MAGNO CELESTINO - 100.953</t>
  </si>
  <si>
    <t>Posse</t>
  </si>
  <si>
    <t>Trata- se de ação de nulidade de procedimento extrajudicial, com tutela de urgência,  referente à consolidação de propriedade e leilões do imóvel situado na Av. Sernambetiba, nº 4000, Barra da Tijuca/RJ. Os autores alegam ausência de notificação pessoal e irregularidades na citação editalícia durante o procedimento de cobrança e execução extrajudicial do contrato de alienação fiduciária.
O autor requer a que seja julgado procedente o pedido para declarar A NULIDADE, DE PLENO DIREITO, DO PROCEDIMENTO ADMINISTRATIVO DE EXECUÇÃO EXTRAJUDICIAL, EM VIRTUDE DA AUSÊNCIA DE NOTIFICAÇÃO PESSOAL DOS AUTORES/DEVEDORES FIDUCIANTES, BEM COMO DA NOTIFICAÇÃO POR EDITAL, mantendo-se os autores na posse do bem; A condenação da ré nas custas processuais e honorários advocatícios, na base usual de 20%. Dá-se à causa o valor de R$ 641.940,68</t>
  </si>
  <si>
    <t>SAINT TROPEZ</t>
  </si>
  <si>
    <t>ESPOLIO DE MAURO AZEVEDO SILVA</t>
  </si>
  <si>
    <t>projuris-75126</t>
  </si>
  <si>
    <t>0025065-86.2023.8.19.0001</t>
  </si>
  <si>
    <t>Vara Federal - São Paulo, SP/TRF3</t>
  </si>
  <si>
    <t>INSS</t>
  </si>
  <si>
    <t>Trata-se de execução fiscal ajuizada para cobrança de 77MM relativos a débitos de INSS e contribuições que supostamente incidem em valores pagos a corretores. Já temos uma ação anulatória ajuizada para discussão do mérito.</t>
  </si>
  <si>
    <t>OLIVEIRA E ROQUIM SOCIEDADE DE ADVOGADOS</t>
  </si>
  <si>
    <t>UNIAO FEDERAL - FAZENDA NACIONAL</t>
  </si>
  <si>
    <t>projuris-75123</t>
  </si>
  <si>
    <t>5046070-72.2025.4.03.6182</t>
  </si>
  <si>
    <t>Trata-se de Execução Fiscal,
Enderenço: AV ROUXINOL 00055 SL 1214 VG INDIANOPOLIS ED MOEMA OF TOWER 04516-000 - SAO PAULO - SP
Exercício: 2021, 2022, 2023, 2024
Natureza:  IPTU</t>
  </si>
  <si>
    <t>MOEMA OFFICE TOWER</t>
  </si>
  <si>
    <t>projuris-75122</t>
  </si>
  <si>
    <t>1537003-62.2025.8.26.0090</t>
  </si>
  <si>
    <t>2ª Vara do Juizado Especial Cível - Goiânia, GO/TJGO</t>
  </si>
  <si>
    <t>Trata-se de ação de indenização por danos morais referente ao apartamento localizado na Rua Vv-08, Torre A-3, APT 1503, Condomínio Invent Max, Village Veneza, Goiânia - GO, em que a parte autora sustenta a ocorrência de atraso na conclusão das obras da área de lazer prometida quando da compra do imóvel junto às rés. As áreas privativas do empreendimento foram entregues, todavia, a área de lazer "Clube de Lazer: a conter uma academia com 2 pavimentos ", principal diferencial do local, não foi entregue e não possui previsão.
Dessa forma, requer a condenação das partes rés ao pagamento de indenização por danos morais no valor de R$ 40.000,00.</t>
  </si>
  <si>
    <t>INVENT COND MAX_NOVO HORIZONTE_BL A3</t>
  </si>
  <si>
    <t>DELMER WILSON EVANGELISTA DA SILVA</t>
  </si>
  <si>
    <t>projuris-75121</t>
  </si>
  <si>
    <t>5879540-23.2025.8.09.0051</t>
  </si>
  <si>
    <t>CPF/ME 002.081.987-09</t>
  </si>
  <si>
    <t>002.081.987-09</t>
  </si>
  <si>
    <t>Consignatória</t>
  </si>
  <si>
    <t>11ª Vara Cível - Rio de Janeiro, RJ/TJRJ</t>
  </si>
  <si>
    <t>Rescisão Contratual - Locação</t>
  </si>
  <si>
    <t>Trata-se de ação de consignação de chaves cumulada com rescisão contratual e pedido de tutela de urgência, referente às Unidades autônomas escritórios nº 707, 708 e 709, localizadas no 7º andar do Bloco Europe, do empreendimento denominado One World Offices - OWO (Empreendimento), na Cidade do Rio de Janeiro/RJ, na Avenida Ator José Wilker, nº 605, Bairro Jacarepaguá.
O Autor afirma que enfrentou diversos problemas estruturais e de manutenção no imóvel durante a locação e que, ao tentar rescindir o contrato, a primeira Ré impôs exigências inviáveis após a vistoria, pois os materiais originais necessários à recomposição não estão mais disponíveis no mercado.
Dessa forma, requer a total procedência da ação para: .1) Declarar a consignação das chaves e o fim da relação locatícia em 18 de setembro de 2025, exonerando o Autor de todas as obrigações contratuais a partir desta data; 2) Declarar a rescisão do contrato de locação por culpa exclusiva das Rés, em razão do descumprimento de suas obrigações legais e contratuais; 3) Declarar a inexigibilidade de quaisquer débitos imputados ao Autor a título de reparos no imóvel, bem como de qualquer multa por rescisão antecipada; .4) Condenar as Rés a perdas e danos materiais, na forma de ressarcimento dos valores pagos a título de honorários contratuais ao advogado do Autor, no valor de R$ 1.800,00 (mil e oitocentos reais); c.5) Condenar solidariamente as Rés ao pagamento de indenização por danos morais, a ser arbitrada em R$ 20.000,00 (vinte mil reais), diante do abalo psicológico, da frustração e do desvio produtivo ocasionados; II) A condenação das Rés ao pagamento das custas processuais e dos honorários de sucumbência, fixados em 20% sobre o valor da causa. Dá-se à causa o valor de R$ 52.692,80.</t>
  </si>
  <si>
    <t>ANDRE LUIZ ALMEIDA DO VALE</t>
  </si>
  <si>
    <t>projuris-75119</t>
  </si>
  <si>
    <t>0982797-29.2025.8.19.0001</t>
  </si>
  <si>
    <t>14ª Vara Cível - Santo Amaro, SP/TJSP</t>
  </si>
  <si>
    <t>Trata-se de Execução Fiscal,
Enderenço: R CAYOWAA 02046 APTO 81
Exercício: 2022, 2023, 2024
Natureza:  IPTU</t>
  </si>
  <si>
    <t>PACO DA CIDADE DE SAO PAULO</t>
  </si>
  <si>
    <t>projuris-75111</t>
  </si>
  <si>
    <t>1535495-81.2025.8.26.0090</t>
  </si>
  <si>
    <t>CPF/ME 613.791.662-68</t>
  </si>
  <si>
    <t>613.791.662-68</t>
  </si>
  <si>
    <t>PAULO JUNIOR SATURNINO - 039.710</t>
  </si>
  <si>
    <t>BROOKFIELD TOWERS_JD GOIÁS_BL A</t>
  </si>
  <si>
    <t>ATIVO</t>
  </si>
  <si>
    <t>ALAN MAIA ASSAD</t>
  </si>
  <si>
    <t>projuris-75115</t>
  </si>
  <si>
    <t>5851625-96.2025.8.09.0051</t>
  </si>
  <si>
    <t>5ª Vara das Execuções Fiscais - Goiânia, GO/TJGO</t>
  </si>
  <si>
    <t>Descumprimento de NR</t>
  </si>
  <si>
    <t>Trata-se de execução fiscal 
Infração: 1, DO CDC LEI NR 8078/90, ART. 56, INC. I  LEI NR 10048/20, 00 E LEI MUNIC. NR 7867/99, ART. 2 E 3  ART, 55, PARAG 4 DO, CDC E 33, PARAG 2 DO DECRETO
Penalidade: 56, I DO CDC
Endereço: ROD GO060 NR 64 LT AREA QD AREA, FAZ ARROZAL, GOIANIA - GO CE |     |           P: 74491¬87
NR. PROCESSO:  92363929</t>
  </si>
  <si>
    <t>projuris-75118</t>
  </si>
  <si>
    <t>5860835-74.2025.8.09.0051</t>
  </si>
  <si>
    <t>Trata-se de Execução Fiscal,
Enderenço: AL DOS JURUPIS 00900 AP 22 E 2 VG SP INDIANOPOLIS VARANDA DAS FLORES
Exercício: 2022, 2023, 2024
Natureza:  IPTU
Observação: ACORDO ROMPIDO - Valor remanescente: R$6.772,24</t>
  </si>
  <si>
    <t>projuris-75113</t>
  </si>
  <si>
    <t>1537005-32.2025.8.26.0090</t>
  </si>
  <si>
    <t>Trata-se de Execução Fiscal,
Enderenço: R TAQUARI 00881 AP 134 MOOCA MOOCA CONDOM CLUB 03166-001 - SAO PAULO - SP
Exercício: 2021, 2023, 2024
Natureza:  IPTU
Observação: ACORDO ROMPIDO - Valor remanescente: R$6.772,24</t>
  </si>
  <si>
    <t>TAQP - MOOCA CONDOMINIUM CLUB</t>
  </si>
  <si>
    <t>projuris-75114</t>
  </si>
  <si>
    <t>1536950-81.2025.8.26.0090</t>
  </si>
  <si>
    <t>Trata-se de Execução Fiscal,
Enderenço: R DIANA 00715 AP 91 BL II PERDIZES ED PAULISTA 05019-000 - SAO PAULO - SP
Exercício: 2022, 2023, 2024
Natureza:  IPTU</t>
  </si>
  <si>
    <t>Não Identificado</t>
  </si>
  <si>
    <t>projuris-75116</t>
  </si>
  <si>
    <t>1536819-09.2025.8.26.0090</t>
  </si>
  <si>
    <t>CONDOMINIO PINHEIROS SPAZIO</t>
  </si>
  <si>
    <t>projuris-75112</t>
  </si>
  <si>
    <t>1530083-72.2025.8.26.0090</t>
  </si>
  <si>
    <t>CPF/ME 642.585.568-15</t>
  </si>
  <si>
    <t>642.585.568-15</t>
  </si>
  <si>
    <t>GILVAN PONCIANO DA SILVA - 023.176</t>
  </si>
  <si>
    <t>Trata-se de ação de adjudicação compulsória para outorga de escritura definitiva de imóvel e descontituição de hipoteca c.c. pedido de tutela de urgência, referente a unidade AP0213.
O autor alega que desde a quitação do imóvel, veem sofrendo problemas para transferir a definitiva do domínio e propriedade.
Sendo assim, requer que: I) Requer que seja deferida a tutela antecipada de urgência, determinando-se o registro do Instrumento Particular de Promessa de Compra e Venda junto a matrícula nº 396.301, II) Seja a presente demanda julgada integralmente procedente, com resolução de mérito e com isto confirme a adjudicação compulsória em favor do Autor, com a expedição da escritura definitiva para os devidos fins de Direito</t>
  </si>
  <si>
    <t>TERRARA FASE V E IV</t>
  </si>
  <si>
    <t>ANTONIO DE LIMA ARAUJO</t>
  </si>
  <si>
    <t>projuris-75110</t>
  </si>
  <si>
    <t>4029673-90.2025.8.26.0002</t>
  </si>
  <si>
    <t>CPF/ME 166.953.248-83</t>
  </si>
  <si>
    <t>166.953.248-83</t>
  </si>
  <si>
    <t>ROGATO &amp; SILVA SOCIEDADE DE ADVOGADOS - 358.034</t>
  </si>
  <si>
    <t>Trata-se de AÇÃO DE ADJUDICAÇÃO COMPULSÓRIA COM PEDIDO DE TUTELA DE URGÊNCIA, referente unidade 142 do empreendimento condomínio terrará.
O autor alega que está tendo problemas para conseguir transferir a propriedade.
Sendo assim, requer que: I0 à outorga da escritura definitiva da compra e venda do imóvel objeto da presente ação, sob pena de multa a ser aplicada por este MM. Juízo; II) alternativamente, em caso de manutenção da resistência das empresas rés, a expedição de mandado de averbação, reconhecendo-se a propriedade dos autores sobre o imóvel objeto da presente ação; III) à indenização solidária pelos danos morais sofridos no valor de R$ 10.000,00</t>
  </si>
  <si>
    <t>GILSON GIULIANO LOPES</t>
  </si>
  <si>
    <t>projuris-75109</t>
  </si>
  <si>
    <t>1085139-54.2024.8.26.0100</t>
  </si>
  <si>
    <t>CNPJ/ME 03.533.064/0001-46</t>
  </si>
  <si>
    <t>03.533.064/0001-46</t>
  </si>
  <si>
    <t>Vara da Fazenda Pública - Cuiabá, MT/TJMT</t>
  </si>
  <si>
    <t>Trata-se de Procedimento Pré-Processual distribuído com o objetivo de homologar acordo celebrado em sede de Mutirão Fiscal, em conformidade com o Termo de Cooperação Técnica nº 25/2022, firmado entre o Núcleo Permanente de Métodos Consensuais de Solução de Conflitos e o Município de Cuiabá-MT.</t>
  </si>
  <si>
    <t>ERBE INCORPORADORA 164 LTDA</t>
  </si>
  <si>
    <t>MUNICÍPIO DE CUIABÁ</t>
  </si>
  <si>
    <t>projuris-75106</t>
  </si>
  <si>
    <t>1108665-16.2025.8.11.0041</t>
  </si>
  <si>
    <t>projuris-75108</t>
  </si>
  <si>
    <t>1108666-98.2025.8.11.0041</t>
  </si>
  <si>
    <t>projuris-75107</t>
  </si>
  <si>
    <t>1108664-31.2025.8.11.0041</t>
  </si>
  <si>
    <t>CNPJ/ME 29.138.310/0001-59</t>
  </si>
  <si>
    <t>29.138.310/0001-59</t>
  </si>
  <si>
    <t>Setor das Execuções Fiscais Municipais - Mangaratiba, RJ/TJRJ</t>
  </si>
  <si>
    <t>Trata-se de execução fiscal 
Natureza: IPTU
Enderenço: VIA - GLEBA SUL S/N, PRINCIPADO - C/33 ALDEIA DOS REIAS RESERVA SAHY
Exercício: 2016, 2017, 2018, 2019, 2020 E 2021</t>
  </si>
  <si>
    <t>AGUAS CLARAS_SAHY NORTE E</t>
  </si>
  <si>
    <t>ERBE INCORPORADORA 016 LTDA.</t>
  </si>
  <si>
    <t>MUNICIPIO DE MANGARATIBA</t>
  </si>
  <si>
    <t>projuris-75102</t>
  </si>
  <si>
    <t>3000426-89.2025.8.19.0030</t>
  </si>
  <si>
    <t>CPF/ME 082.725.117-38</t>
  </si>
  <si>
    <t>082.725.117-38</t>
  </si>
  <si>
    <t>MARCO ANTONIO AZEVEDO FERREIRA - 087.445</t>
  </si>
  <si>
    <t>70ª Vara do Trabalho - Rio de Janeiro, RJ/TRT1</t>
  </si>
  <si>
    <t>Função: Servente. Trata-se de RT proposta com pedido de condenação subsidiária da Cia para anotar a data de demissão na CTPS, reconhecimento do vínculo empregatício, Seja Declarado Nulo o pedido de demissão formulado pela autora e convertido em Demissão Sem Justa Causa, Indenização compensatória, Entrega das guias de FGTS e seguro desemprego, multa do art. 477 e 467, pagamento de horas extras e reflexos, reconhecimento da Função de Encarregado de Turma, Integração das comissões pagas por fora, Devolução do valor dos gastos com aluguel, Pagamento do Vale Transporte, Danos Morais.</t>
  </si>
  <si>
    <t>JANE ELVIRA SILVA SOARES</t>
  </si>
  <si>
    <t>projuris-75101</t>
  </si>
  <si>
    <t>0101373-35.2025.5.01.0070</t>
  </si>
  <si>
    <t>1ª Vara do Juizado Especial Cível - Magé, RJ/TJRJ</t>
  </si>
  <si>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</si>
  <si>
    <t>projuris-75099</t>
  </si>
  <si>
    <t>0807526-19.2025.8.19.0029</t>
  </si>
  <si>
    <t>CPF/ME 122.763.257-63</t>
  </si>
  <si>
    <t>122.763.257-63</t>
  </si>
  <si>
    <t>ROBSON SOUZA DE OLIVEIRA</t>
  </si>
  <si>
    <t>projuris-75098</t>
  </si>
  <si>
    <t>0807240-97.2025.8.19.0075</t>
  </si>
  <si>
    <t>CPF/ME 841.723.638-49</t>
  </si>
  <si>
    <t>841.723.638-49</t>
  </si>
  <si>
    <t>Usucapião</t>
  </si>
  <si>
    <t>Vara Cível - São José dos Campos, SP/TJSP</t>
  </si>
  <si>
    <t>Trata-se de Ação de Usucapião Ordinário referente ao Apartamento nº 1810, localizado no Condomínio Space Valley, situado na Avenida Nelson D'Ávila, nº 1875, matriculado sob o nº 149.090 junto ao Cartório do Primeiro Ofício de Registro de Imóveis desta Comarca, bem como à respectiva vaga de garagem nº 70.
A Autora alega que, conforme documentação obtida junto à Prefeitura de São José dos Campos/SP, a Sra. Maria é possuidora do imóvel desde 12/03/2007. Além disso, o Condomínio emitiu declaração confirmando que a referida senhora figura como titular do apartamento e da vaga de garagem. Assim, quanto à contagem do lapso temporal de exercício da posse exclusiva sobre a totalidade do bem, aplica-se o prazo previsto no artigo 1.242 do Código Civil, totalizando, portanto, 18 (dezoito) anos de posse contínua, ininterrupta, mansa e pacífica, com animus domini, exercida a justo título e de boa-fé.
Diante do exposto, requer-se que seja julgado procedente o pedido de Usucapião Ordinário, com a consequente expedição de mandado ao Cartório do 1º Registro de Imóveis da Comarca de São José dos Campos, a fim de que seja efetuado o registro da propriedade em nome da Autora em relação aos imóveis descritos na petição inicial. Dá-se à causa o valor de R$ 305.828,99.</t>
  </si>
  <si>
    <t>SPACE VALLEY FLAT SERVICE</t>
  </si>
  <si>
    <t>MARIA THERESA DE JESUS CARVALHO</t>
  </si>
  <si>
    <t>projuris-75100</t>
  </si>
  <si>
    <t>4006145-48.2025.8.26.0577</t>
  </si>
  <si>
    <t>Trata-se de execução fiscal.
Natureza: IPTU
Exercício: 2020, 2021
Enderenço: AV. DAS AMERICAS 3434, BL02/6 ANDAR, SALAS 703 A 706 PARTE - FAZ FAZENDA SAHY S/N, GL. NORTE - TERREO LJ 12 BL2 L:A2</t>
  </si>
  <si>
    <t>projuris-75093</t>
  </si>
  <si>
    <t>3000657-19.2025.8.19.0030</t>
  </si>
  <si>
    <t>Trata-se de execução fiscal.
Natureza: IPTU
Exercício: 2020, 2021, 2022 E2023
Enderenço: Rua Corais, 57, FAZ FAZENDA SAHY S/N, GL. NORTE - 2ª PAV. SALA 32 BL1 L A2 - SAHY</t>
  </si>
  <si>
    <t>VILLAGE_SAHY NORTE A</t>
  </si>
  <si>
    <t>projuris-75092</t>
  </si>
  <si>
    <t>3000660-71.2025.8.19.0030</t>
  </si>
  <si>
    <t>Trata-se de execução fiscal.
Natureza: IPTU
Exercício: 2020, 2021 E 2022
Enderenço: Av das Américas, 3434, Rio de Janeiro/RJ -  VIA A - GLEBA SUL S/N, BL1 AP405 ALD DOS REIS CONDADO Q:A L:01 RESERVA SAHY</t>
  </si>
  <si>
    <t>CONDADO_SAHY SUL S2B</t>
  </si>
  <si>
    <t>projuris-75091</t>
  </si>
  <si>
    <t>3000661-56.2025.8.19.0030</t>
  </si>
  <si>
    <t>Trata-se de execução fiscal.
Natureza: IPTU
Exercício: 2020, 2021 E 2022
Enderenço: Av das Américas, 3434, Rio de Janeiro/RJ -  VIA A - GLEBA SUL S/N, BL3 AP206 ALD DOS REIS CONDADO Q:A L:01 RESERVA SAHY</t>
  </si>
  <si>
    <t>projuris-75090</t>
  </si>
  <si>
    <t>3000662-41.2025.8.19.0030</t>
  </si>
  <si>
    <t>Trata-se de execução fiscal 
Natureza: IPTU
Exercício:2020, 2021, 2022
Endereço:  Rua C S/N GL.NORTE COSTA DO SAHY - TIPO 2 C/33</t>
  </si>
  <si>
    <t>COSTA DO SAHY_SAHY NORTE I</t>
  </si>
  <si>
    <t>projuris-75097</t>
  </si>
  <si>
    <t>3000665-93.2025.8.19.0030</t>
  </si>
  <si>
    <t>Trata-se de execução fiscal.
Natureza: IPTU
Exercício: 2020, 2021, 2022 E2023
Enderenço: VIA A - GLEBA SUL S/N, DUCADO - C/65 - ALMEIDA DOS REIS Q:A L:02</t>
  </si>
  <si>
    <t>DUCADO_SAHY SUL 2B2</t>
  </si>
  <si>
    <t>projuris-75096</t>
  </si>
  <si>
    <t>3000654-64.2025.8.19.0030</t>
  </si>
  <si>
    <t>Trata-se de execução fiscal.
Natureza: IPTU
Exercício: 2020
Enderenço: RUA DOS CORAIS S/N, CASA 32, CONDOMINIO MAR AZIL</t>
  </si>
  <si>
    <t>MAR AZUL_SAHY NORTE C</t>
  </si>
  <si>
    <t>projuris-75095</t>
  </si>
  <si>
    <t>3000655-49.2025.8.19.0030</t>
  </si>
  <si>
    <t>Trata-se de execução fiscal.
Natureza: IPTU
Exercício: 2020, 2021, 2022 E2023
Enderenço: RUA ARAGUIA 614, BL01 / APTO 207, FREGUESIA - RJ, RUAS DAS DUNAS S/N, CASA03 / CONDOMINIO MAR AZUL L:C</t>
  </si>
  <si>
    <t>projuris-75094</t>
  </si>
  <si>
    <t>3000656-34.2025.8.19.0030</t>
  </si>
  <si>
    <t>Trata-se de execução fiscal.
Natureza: IPTU
Exercício: 2020, 2021 E 2022
Enderenço: Av das Américas, 3434, Rio de Janeiro/RJ -  Rua C S/N, GL NORTE COSTA DO SAHY - TIPO 2 C/32 -  SAHY RESIDENCIAL RESORT</t>
  </si>
  <si>
    <t>projuris-75089</t>
  </si>
  <si>
    <t>3000664-11.2025.8.19.0030</t>
  </si>
  <si>
    <t>Trata-se de execução fiscal.
Natureza: IPTU
Exercício: 2020, 2021 E 2022
Enderenço: Av das Américas, 3434, Rio de Janeiro/RJ -  Rua C S/N, GL NORTE COSTA DO SAHY - TIPO 2 C/37 -  SAHY RESIDENCIAL RESORT</t>
  </si>
  <si>
    <t>projuris-75088</t>
  </si>
  <si>
    <t>3000666-78.2025.8.19.0030</t>
  </si>
  <si>
    <t>Trata-se de execução fiscal.
Natureza: IPTU
Exercício: 2020, 2021 E 2022
Enderenço: Av das Américas, 3434, Rio de Janeiro/RJ -  Rua C S/N, GL NORTE COSTA DO SAHY - TIPO 2 C/46 SAHY RESIDENCIAL RESORT</t>
  </si>
  <si>
    <t>projuris-75087</t>
  </si>
  <si>
    <t>3000667-63.2025.8.19.0030</t>
  </si>
  <si>
    <t>projuris-75086</t>
  </si>
  <si>
    <t>3000668-48.2025.8.19.0030</t>
  </si>
  <si>
    <t>Trata-se de execução fiscal.
Natureza: IPTU
Exercício: 2020, 2021
Enderenço: Av das Américas, 3434, Rio de Janeiro/RJ - Faz FAZENDA SAHY S/N GL. NORTE TIPO 2 C/119 - NATURALLE L H</t>
  </si>
  <si>
    <t>NATURALLE_SAHY NORTE H</t>
  </si>
  <si>
    <t>projuris-75085</t>
  </si>
  <si>
    <t>3000669-33.2025.8.19.0030</t>
  </si>
  <si>
    <t>projuris-75084</t>
  </si>
  <si>
    <t>3000670-18.2025.8.19.0030</t>
  </si>
  <si>
    <t>Trata-se de execução fiscal
Natureza: IPTU
Exercício: 2020, 2021 e 2022
Enderenço: Av. das Américas, 3434, BL2 / 6º andar, Salas 703 a 706 parte, Barra da Tijuca - RJ</t>
  </si>
  <si>
    <t>projuris-75083</t>
  </si>
  <si>
    <t>3000658-04.2025.8.19.0030</t>
  </si>
  <si>
    <t>projuris-75082</t>
  </si>
  <si>
    <t>3000659-86.2025.8.19.0030</t>
  </si>
  <si>
    <t>CNPJ/ME 27366041000152</t>
  </si>
  <si>
    <t>27366041000152</t>
  </si>
  <si>
    <t>Entrega de Documentos</t>
  </si>
  <si>
    <t>Trata-se de Ação de Exibição de Documentos Procedimento Comum, em que o Condomínio Praça Pamplona busca compelir a Requerida (Erbe) a apresentar documentos relacionados à incorporação e construção do empreendimento, tais como memorial descritivo, plantas aprovadas, projetos elétricos, ART, certidões fiscais e demais documentos necessários para alteração de enquadramento tarifário junto à ENEL. Apesar de notificações e tentativas extrajudiciais, a requerida não forneceu os documentos.
Sendo assim, a autora requer: i) a citação da empresa ré, para que que exiba todos os documentos acima relacionados, tidos como indispensáveis para que o condomínio autor possa cumprir as exigências da Concessionária de energia elétrica; ii) caso aja recusa da requerida na exibição perseguida, seja autorizada a aplicação da premissa disposta no art. 400 do CPC; iii) que a Requerida proceda ao respectivo depósito em cartório ou em outro lugar designado, no prazo de 5 (cinco) dias, conforme previsto no artigo 403 do Código de Processo CiviL; iv) a condenação da requerida ao pagamento de honorários advocatícios e das despesas processuais. Atribui-se ao valor da causa a importância de R$ 10.000,00.</t>
  </si>
  <si>
    <t>PRAÇA PAMPLONA</t>
  </si>
  <si>
    <t>ERBE INCORPORADORA 036 LTDA.</t>
  </si>
  <si>
    <t>CONDOMINIO PRACA PAMPLONA</t>
  </si>
  <si>
    <t>projuris-75080</t>
  </si>
  <si>
    <t>4045221-55.2025.8.26.0100</t>
  </si>
  <si>
    <t>Trata-se de Execução Fiscal.
Endereço: Avenida Industrial, 750, Apto 251, Torre 01, Condomínio Jardim Park House, Santo Andre/SP, CEP 09080-500
Cliente: MARCELO DE OLIVEIRA ESTEVES e LUCIMAR ANITA DE CARVALHO
Natureza: IPTU
Exercicio: 2022</t>
  </si>
  <si>
    <t>projuris-75073</t>
  </si>
  <si>
    <t>1507901-58.2025.8.26.0554</t>
  </si>
  <si>
    <t>Trata-se de Execução Fiscal.
Endereço: Avenida Capuava, Apto 33, Bloco 2, Cond. Century Plaza , Vila Homero Thon, Santo André/SP - CEP 09111-000
Natureza: IPTU
Exercicio: 2022</t>
  </si>
  <si>
    <t>projuris-75072</t>
  </si>
  <si>
    <t>1508646-38.2025.8.26.0554</t>
  </si>
  <si>
    <t>Trata-se de Execução Fiscal.
Endereço: Rua Giovanni Battista Pirelli, 271, Conj 103, Business Cond Atrium Century Plaza, Vila Homero Thon, Santo André - SP, 09111-340
Natureza: IPTU
Exercicio: 2022</t>
  </si>
  <si>
    <t>PIRELLI_BROOKFIELD CENTURY PLAZA_BUSINESS</t>
  </si>
  <si>
    <t>projuris-75075</t>
  </si>
  <si>
    <t>1508658-52.2025.8.26.0554</t>
  </si>
  <si>
    <t>Trata-se de Execução Fiscal.
Endereço: Avenida Industrial, 780, Escritório 212,  Torre 01, Condomínio Jardim Park Business, Santo André/SP, CEP 09080-500
Natureza: IPTU
Exercicio: 2022</t>
  </si>
  <si>
    <t>JARDIM PARK BUSINESS_GENERAL TINTAS</t>
  </si>
  <si>
    <t>projuris-75074</t>
  </si>
  <si>
    <t>1508660-22.2025.8.26.0554</t>
  </si>
  <si>
    <t>Vara da Fazenda Pública - Curitiba, PR/TJPR</t>
  </si>
  <si>
    <t>Trata-se de Execução Fiscal.
Endereço: Rua Romédio Dorigo, nº 85, Apto 1904. Condomínio Younique, Torre B, Água Verde, CEP 80620-140.
Natureza: IPTU e Taxa de Lixo
Exercicio:  2023, 2024</t>
  </si>
  <si>
    <t>MUNICIPIO DE CURITIBA PR</t>
  </si>
  <si>
    <t>projuris-75079</t>
  </si>
  <si>
    <t>0035648-76.2025.8.16.0185</t>
  </si>
  <si>
    <t>Trata-se de Execução Fiscal.
Endereço: Rua Leão Sallum, 526, Apto 301 B, Yard Comfort Residence, Boa Vista, 82540-050
Natureza: IPTU
Exercicio: 2022, 2023, 2024</t>
  </si>
  <si>
    <t>projuris-75077</t>
  </si>
  <si>
    <t>0035321-34.2025.8.16.0185</t>
  </si>
  <si>
    <t>Trata-se de Execução Fiscal.
Endereço: Rua Leão Sallum, 526, Apto 601 A, Yard Comfort Residence, Boa Vista, 82540-050
Natureza: IPTU
Exercicio: 2023, 2024</t>
  </si>
  <si>
    <t>projuris-75078</t>
  </si>
  <si>
    <t>0035317-94.2025.8.16.0185</t>
  </si>
  <si>
    <t>Trata-se de Execução Fiscal.
Endereço: Rua Leão Sallum, 526, Apto 202 B, Yard Comfort Residence, Boa Vista, 82540-050
Natureza: IPTU
Exercicio: 2023, 2024</t>
  </si>
  <si>
    <t>projuris-75076</t>
  </si>
  <si>
    <t>0035319-64.2025.8.16.0185</t>
  </si>
  <si>
    <t>projuris-75063</t>
  </si>
  <si>
    <t>1103770-12.2025.8.11.0041</t>
  </si>
  <si>
    <t>projuris-75062</t>
  </si>
  <si>
    <t>1103769-27.2025.8.11.0041</t>
  </si>
  <si>
    <t>projuris-75061</t>
  </si>
  <si>
    <t>1103771-94.2025.8.11.0041</t>
  </si>
  <si>
    <t>CNPJ/ME 10.370.905/0001-07</t>
  </si>
  <si>
    <t>10.370.905/0001-07</t>
  </si>
  <si>
    <t>Declaratória</t>
  </si>
  <si>
    <t>3ª Vara Cível - Goiânia, GO/TJGO</t>
  </si>
  <si>
    <t>Obrigação de Fazer/Não Fazer</t>
  </si>
  <si>
    <t>Trata-se de Ação com pedidos de preceito declaratório / cominatório, proposta por Vera Cruz Empreendimentos Ltda. em face de Erbe Incorporadora 046 Ltda., referente à garantia fiduciária prestada pela Autora em favor da Ré no âmbito do empreendimento Invent Way - 1ª Fase (Torre B2).
A Autora alega que as obrigações garantidas venceram em março de 2023 sem qualquer notificação de inadimplência pela Ré, e que esta, juntamente com a devedora principal Terra Mundi Eldorado Empreendimentos SPE Ltda., promoveu diversas repactuações contratuais alterando valores, prazos e formas de pagamento - fatos que caracterizam novação da dívida, nos termos dos arts. 360 e 364 do Código Civil. Dessa forma, requer: I) o reconhecimento da novação e a consequente declaração de extinção da garantia fiduciária prestada pela Autora; II) subsidiariamente, caso não reconhecida a extinção, que a Ré seja compelida a apresentar demonstrativo detalhado do débito garantido, com memória de cálculo e valores atualizados. Dá-se à causa o valor de R$ 4.286.016,00.</t>
  </si>
  <si>
    <t>INVENT COND WAY_NOVO HORIZONTE_B01</t>
  </si>
  <si>
    <t>VERA CRUZ EMPREENDIMENTOS LTDA.</t>
  </si>
  <si>
    <t>projuris-75060</t>
  </si>
  <si>
    <t>5830910-33.2025.8.09.0051</t>
  </si>
  <si>
    <t>Trata-se de Execução Fiscal.
Endereço: AV. GIOVANI BATISTA PIRELLI, 397, Apto 82, Bloco 1, Cond. Century Plaza, Vila Homero Thon, Santo André/SP - CEP 09111-000
Cliente: RICHARD MARTINS DE CASTRO 
Natureza: IPTU
Exercicio:  2022
Natureza: IPTU
Exercicio: 2022</t>
  </si>
  <si>
    <t>PIRELLI_BROOKFIELD CENTURY PLAZA_RESIDENCE</t>
  </si>
  <si>
    <t>projuris-75067</t>
  </si>
  <si>
    <t>1508635-09.2025.8.26.0554</t>
  </si>
  <si>
    <t>Trata-se de Execução Fiscal.
Endereço: Avenida Capuava, 100, Apto 232, Bloco 3, Cond. Century Plaza Living, Vila Homero Thon, Santo André/SP - CEP 09111-000
Natureza: IPTU
Exercicio: 2022</t>
  </si>
  <si>
    <t>projuris-75069</t>
  </si>
  <si>
    <t>1508651-60.2025.8.26.0554</t>
  </si>
  <si>
    <t>Trata-se de Execução Fiscal.
Endereço: Avenida Capuava, 100, Apto 103, Bloco 3, Cond. Century Plaza Living, Vila Homero Thon, Santo André/SP - CEP 09111-000
Natureza: IPTU
Exercicio:  2022</t>
  </si>
  <si>
    <t>projuris-75064</t>
  </si>
  <si>
    <t>1508094-73.2025.8.26.0554</t>
  </si>
  <si>
    <t>Trata-se de Execução Fiscal.
Endereço: Rua Giovanni Battista Pirelli, 271, Conj 411, Business Cond Atrium Century Plaza, Vila Homero Thon, Santo André - SP, 09111-340
Natureza: IPTU
Exercicio: 2022</t>
  </si>
  <si>
    <t>projuris-75068</t>
  </si>
  <si>
    <t>1508092-06.2025.8.26.0554</t>
  </si>
  <si>
    <t>Trata-se de Execução Fiscal.
Endereço: Rua Giovanni Battista Pirelli, 271, Conj 412, Business Cond Atrium Century Plaza, Vila Homero Thon, Santo André - SP, 09111-340
Natureza: IPTU
Exercicio: 2022</t>
  </si>
  <si>
    <t>projuris-75066</t>
  </si>
  <si>
    <t>1508091-21.2025.8.26.0554</t>
  </si>
  <si>
    <t>Trata-se de Execução Fiscal.
Endereço: Rua Giovanni Battista Pirelli, 271, Conj 812, Business Cond Atrium Century Plaza, Vila Homero Thon, Santo André - SP, 09111-340
Natureza: IPTU
Exercicio: 2022</t>
  </si>
  <si>
    <t>projuris-75065</t>
  </si>
  <si>
    <t>1508645-53.2025.8.26.0554</t>
  </si>
  <si>
    <t>CADASTRAR FCX</t>
  </si>
  <si>
    <t>Trata-se de Execução Fiscal.
Endereço: Rua Giovanni Battista Pirelli, 271, Conj 813, Business  Cond Atrium Century Plaza, Vila Homero Thon, Santo André - SP, 09111-340
Natureza: IPTU
Exercicio: 2022</t>
  </si>
  <si>
    <t>projuris-75053</t>
  </si>
  <si>
    <t>1508661-07.2025.8.26.0554</t>
  </si>
  <si>
    <t>Trata-se de Execução Fiscal.
Endereço: Avenida Capuava, 100, Apto ´133, Bloco 1, Cond. Century Plaza Living, Vila Homero Thon, Santo André/SP - CEP 09111-000
Natureza: IPTU
Exercicio: 2021, 2022</t>
  </si>
  <si>
    <t>projuris-75052</t>
  </si>
  <si>
    <t>1508095-58.2025.8.26.0554</t>
  </si>
  <si>
    <t>Trata-se de Execução Fiscal.
Endereço: Avenida Industrial, 750, Apto 74, Condomínio Jardim Park Business, Santo Andre/SP - CEP 09080-500
Natureza: IPTU
Exercicio: 2022</t>
  </si>
  <si>
    <t>projuris-75054</t>
  </si>
  <si>
    <t>1508662-89.2025.8.26.0554</t>
  </si>
  <si>
    <t>Trata-se de Execução Fiscal.
Endereço: Avenida Capuava, 100, Apto 202, Bloco 2, Cond. Century Plaza Living, Vila Homero Thon, Santo André/SP - CEP 09111-000
Natureza: IPTU
Exercicio: 2022</t>
  </si>
  <si>
    <t>projuris-75055</t>
  </si>
  <si>
    <t>1508093-88.2025.8.26.0554</t>
  </si>
  <si>
    <t>Trata-se de Execução Fiscal.
Endereço: Avenida Industrial, 780, escritório  2712, Condomínio Jardim Park Business, Santo Andre/SP - CEP 09080-500
Natureza: IPTU
Exercicio: 2022</t>
  </si>
  <si>
    <t>projuris-75050</t>
  </si>
  <si>
    <t>1507905-95.2025.8.26.0554</t>
  </si>
  <si>
    <t>Trata-se de Execução Fiscal.
Endereço: R. Laura, 161 , Apto 12, Edificio Maison Classic, Vila Bastos, Santo André - SP, CEP 09040-240
Natureza: IPTU
Exercicio: 2022</t>
  </si>
  <si>
    <t>projuris-75051</t>
  </si>
  <si>
    <t>1507843-55.2025.8.26.0554</t>
  </si>
  <si>
    <t>Trata-se de Execução Fiscal.
Endereço: Avenida Capuava, 231, Apto 74, Bloco 1, Condomínio Century Plaza, Tamanduateí, Santo André/SP CEP 09111-000
Natureza: IPTU
Exercicio: 2022</t>
  </si>
  <si>
    <t>projuris-75045</t>
  </si>
  <si>
    <t>1507824-49.2025.8.26.0554</t>
  </si>
  <si>
    <t>Trata-se de Execução Fiscal.
Endereço: Avenida Capuava, 100, Apto 94, Bloco 3, Cond. Century Plaza Living, Vila Homero Thon, Santo André/SP - CEP 09111-000
Natureza: IPTU
Exercicio: 2022</t>
  </si>
  <si>
    <t>projuris-75049</t>
  </si>
  <si>
    <t>1507823-64.2025.8.26.0554</t>
  </si>
  <si>
    <t>Trata-se de Execução Fiscal.
Endereço: Avenida Capuava, 100, Apto 173, Bloco 3, Cond. Century Plaza Living, Vila Homero Thon, Santo André/SP - CEP 09111-000
Natureza: IPTU
Exercicio: 2022</t>
  </si>
  <si>
    <t>projuris-75048</t>
  </si>
  <si>
    <t>1507822-79.2025.8.26.0554</t>
  </si>
  <si>
    <t>Trata-se de Execução Fiscal.
Endereço: Rua Giovanni Battista Pirelli, 271, Conj 1408 - Vila Homero Thon, Santo André - SP, 09111-340
Natureza: IPTU
Exercicio: 2022</t>
  </si>
  <si>
    <t>projuris-75047</t>
  </si>
  <si>
    <t>1507821-94.2025.8.26.0554</t>
  </si>
  <si>
    <t>Trata-se de Execução Fiscal.
Endereço: Rua Giovanni Battista Pirelli, 271, Conj 1604 - Vila Homero Thon, Santo André - SP, 09111-340
Natureza: IPTU
Exercicio: 2022</t>
  </si>
  <si>
    <t>projuris-75046</t>
  </si>
  <si>
    <t>1507820-12.2025.8.26.0554</t>
  </si>
  <si>
    <t>CPF/ME 586.775.188-00</t>
  </si>
  <si>
    <t>586.775.188-00</t>
  </si>
  <si>
    <t>Trata-se de Ação Declaratória de Prescrição cumulada com Obrigação de Fazer, referente à unidade nº 104, localizada no 10º andar do Edifício Varanda dos Lagos, Bloco IV, situado na Alameda dos Jurupis, nº 900, proposta por Jorge Luiz Nishino e Iara Perez Campos Nishino em face de Erbe Incorporadora 001 S/A.
Os autores alegam a prescrição de eventual saldo devedor relativo ao contrato de compra e venda de imóvel firmado com a antiga Brascan Imobiliária S/A, incorporada pela requerida, e pleiteiam o reconhecimento da prescrição e a consequente obrigação da ré de outorgar a escritura definitiva do imóvel adquirido. Dessa forma, requer a condenação da requerida a proceder à averbação da incorporação na matrícula do imóvel nº 129.368, junto ao 14º Registro de Imóveis de São Paulo, em observância ao princípio da continuidade registral, bem como ao pagamento das custas, despesas processuais e honorários advocatícios. Atribui-se à causa o valor de R$ 226.415,18.</t>
  </si>
  <si>
    <t>JORGE LUIZ NISHINO</t>
  </si>
  <si>
    <t>projuris-75043</t>
  </si>
  <si>
    <t>4037840-93.2025.8.26.0100</t>
  </si>
  <si>
    <t>CNPJ/ME 22.106.253/0001-87</t>
  </si>
  <si>
    <t>22.106.253/0001-87</t>
  </si>
  <si>
    <t>14ª Vara Cível - Campo Grande, MS/TJMS</t>
  </si>
  <si>
    <t>FAR - Vício Construtivo Área Comum</t>
  </si>
  <si>
    <t>Trata-se deAÇÃO DE OBRIGAÇÃO DE FAZER c/c INDENIZAÇÃO POR DANOS MORAIS, DIANTE O CONTRATO DE FUNDO DE ARRENDAMENTO RESIDENCIAL -FAR, referente ao empreendimento Jardim do Cerrado. 
O autor alega que após a entrega do empreendimento observaram diversos danos físicos, como rachadura, falha de amarração das telhas, instalações hidráulicas,  falha de impermeabilização, reboco e pintura, piso trincados, umidade, portas emperradas e janelas de baixa qualidade, dentre outros. Dessa forma,  requer a condenação da Ré ao pagamento de indenização equivalente à eventual desvalorização de cada unidade integrante do residencial em razão dos danos estruturais; Reparo imediato de TODOS os vícios apontados pelo Autor e confirmados no laudo pericial; Pagamento das custas processuais e honorários advocatícios; A expedição de ofício ao Ministério Público do Estado de Mato Grosso do Sul. Valor da causa R$ 10.000,00.</t>
  </si>
  <si>
    <t>JARDIM DO CERRADO</t>
  </si>
  <si>
    <t>CONDOMINIO RESIDENCIAL AZALEA</t>
  </si>
  <si>
    <t>projuris-75035</t>
  </si>
  <si>
    <t>0821254-12.2025.8.12.0001</t>
  </si>
  <si>
    <t>CPF/ME 095.225.437-99</t>
  </si>
  <si>
    <t>095.225.437-99</t>
  </si>
  <si>
    <t>FAR CEF - Vício Construtivo Unidade Autônoma - Castelo D'Água: ERBE e CEF.
Trata-se de ação pelo rito sumaríssimo, promovida em face da ERBE e CEF, referente ao Condomínio Vila da Conquista - Vilas de Piabetá, casa 39, em razão de falhas estruturais graves no Castelo d'Água do condomínio, que colocaram em risco a segurança do autor e de sua família. O autor havia quitado antecipadamente o financiamento da unidade residencial no programa Minha Casa Minha Vida, mas precisou ser evacuado do imóvel em julho de 2024 por risco de desabamento, enfrentando novos episódios de instabilidade estrutural, impossibilitando o uso pleno da residência. Diante do exposto, requer, em sede de tutela provisória de urgência antecipada, que as rés adotem medidas imediatas de segurança, arquem com as despesas de aluguel emergencial e sejam condenadas ao pagamento de indenização por danos morais. Valor da causa de R$ 39.500,00.
Em decisão, foi INDEFIRIDO o pedido de antecipação dos efeitos da tutela tendo em vista estarem ausentes os requisitos autorizadores indicados no art. 300 do NCPC (Lei 13.105/2015).</t>
  </si>
  <si>
    <t>PEDRO DE SOUZA SILVA JUNIOR</t>
  </si>
  <si>
    <t>projuris-75034</t>
  </si>
  <si>
    <t>0806953-37.2025.8.19.0075</t>
  </si>
  <si>
    <t>CPF/ME 085.707.688-42</t>
  </si>
  <si>
    <t>085.707.688-42</t>
  </si>
  <si>
    <t>Trata-se de Ação de Usucapião Extraordinária em face da Company Tecnologia de Construções Ltda. (atual Erbe Incorporadora 019 S.A.), visando o reconhecimento da propriedade do apartamento nº 91, Bloco 3, Condomínio Villaggio di Lucca, situado à Rua José Alves da Cunha Lima, 159, São Paulo/SP (não localizei como empreendimento Erbe). 
A autora alega exercer posse mansa, pacífica, contínua e exclusiva desde 2002, por mais de 18 anos, atendendo aos requisitos do art. 1.238 do Código Civil. Dessa forma, requer  citação da proprietária registral, intimação das Fazendas Públicas e do Ministério Público, e expedição de ofício ao 18º Cartório de Registro de Imóveis para matrícula do bem em seu nome.</t>
  </si>
  <si>
    <t>ROSÂNGELA VILLELA</t>
  </si>
  <si>
    <t>projuris-75031</t>
  </si>
  <si>
    <t>1113657-20.2025.8.26.0100</t>
  </si>
  <si>
    <t>CNPJ/ME 28.521.748/0001-59</t>
  </si>
  <si>
    <t>28.521.748/0001-59</t>
  </si>
  <si>
    <t>Setor das Execuções Fiscais Municipais - Niterói, RJ/TJRJ</t>
  </si>
  <si>
    <t>Trata-se de Execução Fiscal.
Endereço: Rua Dr. Celestino, 122, 608, Centro, Rio de Janeiro/RJ - CEP  24020090
Natureza: IPTU
Exercicio: 2021, 2022, 2023</t>
  </si>
  <si>
    <t>IOFFICES_AMIL</t>
  </si>
  <si>
    <t>EGB 02 SPE S.A.</t>
  </si>
  <si>
    <t>PREFEITURA DO MUNICIPIO DE NITEROI</t>
  </si>
  <si>
    <t>projuris-75033</t>
  </si>
  <si>
    <t>3006467-59.2025.8.19.0002</t>
  </si>
  <si>
    <t>Trata-se de Execução Fiscal.
Endereço: Rua Itapicuru, 369, Es 602 e 1 VG, Perdizes, Ed Perdizes Trade Center, São PaulO/SP - CEP 05006-000
Natureza: IPTU
Exercicio: 2021, 2022, 2023 e 2024</t>
  </si>
  <si>
    <t>PERDIZES TRADE CENTER</t>
  </si>
  <si>
    <t>projuris-75032</t>
  </si>
  <si>
    <t>1526568-29.2025.8.26.0090</t>
  </si>
  <si>
    <t>CNPJ/ME 14045961000127</t>
  </si>
  <si>
    <t>14045961000127</t>
  </si>
  <si>
    <t>Trata-se de Execução de Título Extrajudicial, referente a unidade n° 212, Bloco A, Torre Diamante do Condomínio Tatuapé Condominium Club. 
A Exequente alega que a Executada (Erbe) deve, a título de despesas condominiais o valor de R$ 52.190,08. Além disso, a exequente alega que foram enviados telegrama e/ou e-mail a executada solicitando o termo de entrega de chaves, sem que houvesse qualquer resposta, o que motivou o ingresso da presente ação contra a mesma. Dessa forma, requer: I) Citação da Executada por carta para que em 3 (três) dias pague a importância de R$ 52.190,08; II) Efetivada a PENHORA DO IMÓVEL objeto da presente execução de cotas condominiais; III) Requer a incidência das cotas vincendas à presente Execução, até a data do efetivo pagamento.</t>
  </si>
  <si>
    <t>TATUAPE CONDOMINIUM CLUB</t>
  </si>
  <si>
    <t>projuris-75030</t>
  </si>
  <si>
    <t>4005271-24.2025.8.26.0008</t>
  </si>
  <si>
    <t>Trata-se de Execução Fiscal.
Endereço: Avenida Parkinson, 35, Apto1401, Quadra-B Lote 01 Green Valley, Alphaville - Barueri/SP
Natureza: IPTU
Exercicio: 2021, 2022, 2023</t>
  </si>
  <si>
    <t>projuris-75027</t>
  </si>
  <si>
    <t>1505765-91.2025.8.26.0068</t>
  </si>
  <si>
    <t>projuris-75029</t>
  </si>
  <si>
    <t>1505764-09.2025.8.26.0068</t>
  </si>
  <si>
    <t>Trata-se de Execução Fiscal.
Endereço: Avenida Parkinson, Quadra- A Lote 01Green Valley, Alphaville - Barueri/SP
Natureza: IPTU
Exercicio: 2021, 2022, 2023</t>
  </si>
  <si>
    <t>GREEN VALLEY_LOTE 3</t>
  </si>
  <si>
    <t>ERBE INCORPORADORA 131 LTDA.</t>
  </si>
  <si>
    <t>projuris-75025</t>
  </si>
  <si>
    <t>1505762-39.2025.8.26.0068</t>
  </si>
  <si>
    <t>Trata-se de Execução Fiscal.
Endereço: Avenida Parkinson, Quadra- A Lote  01Green Valley, Alphaville - Barueri/SP
Natureza: IPTU
Exercicio: 2021, 2023</t>
  </si>
  <si>
    <t>projuris-75024</t>
  </si>
  <si>
    <t>1505763-24.2025.8.26.0068</t>
  </si>
  <si>
    <t>Trata-se de Execução Fiscal.
Endereço: Avenida Parkinson, 35, Apto1401,  Quadra-B Lote 01 Green Valley, Alphaville - Barueri/SP
Natureza: IPTU
Exercicio: 2022, 2023</t>
  </si>
  <si>
    <t>projuris-75026</t>
  </si>
  <si>
    <t>1505890-59.2025.8.26.0068</t>
  </si>
  <si>
    <t>Trata-se de Execução Fiscal.
Endereço: Avenida Parkinson, 35, Apto1401, Quadra-B Lote 01 Green Valley, Alphaville - Barueri/SP
Natureza: IPTU
Exercicio: 2023</t>
  </si>
  <si>
    <t>projuris-75028</t>
  </si>
  <si>
    <t>1505766-76.2025.8.26.0068</t>
  </si>
  <si>
    <t>Trata-se de ação de reparação de danos materiais e morais, referente ao Condomínio Vila da Conquista - Vilas de Piabetá, em razão de falhas estruturais graves no Castelo d'Água do condomínio, que colocaram em risco a segurança do autor e de sua família. O autor havia quitado antecipadamente o financiamento da unidade residencial no programa Minha Casa Minha Vida, mas precisou ser evacuado do imóvel em julho de 2024 por risco de desabamento, enfrentando novos episódios de instabilidade estrutural, impossibilitando o uso pleno da residência.
Diante disso, o autor busca indenização por danos materiais, incluindo despesas com aluguel emergencial, e danos morais, em razão do abalo psicológico sofrido, além da adoção imediata de medidas de segurança e manutenção pelo condomínio e incorporadora para garantir a habitabilidade do imóvel. A ação fundamenta-se nos arts. 6º e 14 do Código de Defesa do Consumidor, que prevêem responsabilidade objetiva pelos danos causados ao consumidor, e invoca precedentes sobre desvio produtivo e perda de tempo útil. O valor da causa é de R$ 39.500,00.
- O Juiz julgou extinto o processo, sem apreciação do mérito, por incompetência de territorialidade.</t>
  </si>
  <si>
    <t>projuris-75021</t>
  </si>
  <si>
    <t>0806888-83.2025.8.19.0029</t>
  </si>
  <si>
    <t>CNPJ/ME 76417005001310</t>
  </si>
  <si>
    <t>76417005001310</t>
  </si>
  <si>
    <t>Trata-se de Execução Fiscal.
Endereço: Rua R. Leão Sallum, nº 526, Apto 204A, Yard Comfort Residence Ed, Bairro Boa Vista, CEP 82540-050
Natureza: IPTU
Exercicio: 2023, 2024</t>
  </si>
  <si>
    <t>MUNICIPIO DE CURITIBA</t>
  </si>
  <si>
    <t>projuris-75015</t>
  </si>
  <si>
    <t>0029268-37.2025.8.16.0185</t>
  </si>
  <si>
    <t>CPF/ME 107.700.567-92</t>
  </si>
  <si>
    <t>107.700.567-92</t>
  </si>
  <si>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</si>
  <si>
    <t>JORGE LUIZ DE JESUS LOPES</t>
  </si>
  <si>
    <t>projuris-75013</t>
  </si>
  <si>
    <t>0806547-16.2025.8.19.0075</t>
  </si>
  <si>
    <t>CPF/ME 134.201.337-90</t>
  </si>
  <si>
    <t>134.201.337-90</t>
  </si>
  <si>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 em razão da falha na prestação de serviço e dos transtornos causados a condômina;</t>
  </si>
  <si>
    <t>LEONARDO DA SILVA RODRIGUES</t>
  </si>
  <si>
    <t>projuris-75012</t>
  </si>
  <si>
    <t>0806518-63.2025.8.19.0075</t>
  </si>
  <si>
    <t>projuris-75009</t>
  </si>
  <si>
    <t>1092754-61.2025.8.11.0041</t>
  </si>
  <si>
    <t>1ª Vara das Execuções Fiscais - Aquiraz, CE/TJCE</t>
  </si>
  <si>
    <t>Trata-se de Execução Fiscal.
Natureza: IPTU
Exercicio: 2018, 2019, 2020, 2021, 2022</t>
  </si>
  <si>
    <t>ERBE INCORPORADORA 047 LTDA.</t>
  </si>
  <si>
    <t>MUNICIPIO DE AQUIRAZ</t>
  </si>
  <si>
    <t>projuris-75011</t>
  </si>
  <si>
    <t>3000584-66.2023.8.06.0034</t>
  </si>
  <si>
    <t>Trata-se de Execução Fiscal.
Endereço: Rua Firmino Perella, nº 99, Apto 1402, T.1, Vila Augusta, Guarulhos/SP, CEP 07025-070
Natureza: IPTU
Exercicio: 2019, 2020, 2023</t>
  </si>
  <si>
    <t>COLINAS DO SOL_VERTENTES</t>
  </si>
  <si>
    <t>projuris-75007</t>
  </si>
  <si>
    <t>1503341-39.2024.8.26.0609</t>
  </si>
  <si>
    <t>CNPJ/ME 14226667000111</t>
  </si>
  <si>
    <t>14226667000111</t>
  </si>
  <si>
    <t>Sustação de leilão</t>
  </si>
  <si>
    <t>1ª Vara Cível - Cajamar, SP/TJSP</t>
  </si>
  <si>
    <t>Trata-se de Ação de Sustação de Leilão com Obrigação de Fazer, ajuizada pelo Condomínio Viva Alegria em face da construtora, referente às vagas de garagem nºs 227 a 230. O condomínio alega ter sido surpreendido com a publicação de edital anunciando leilão eletrônico das unidades, com lance mínimo de R$ 10.000,00 cada, o que acarretaria sérios riscos à coletividade condominial, já que eventuais arrematantes, estranhos à vida interna do edifício, teriam direito de ingresso e circulação nas áreas comuns, comprometendo a segurança, a ordem e a privacidade dos moradores. Sustenta, ainda, que não houve notificação prévia ao condomínio. Aponta, também, que nem o edital nem as matrículas das vagas trazem informações sobre credor ou a origem da suposta dívida que embasou o leilão, o que evidencia a irregularidade do ato. 
Diante disso, requer: (a) a concessão de tutela de urgência para imediata suspensão do leilão das vagas nºs 227 a 230 e expedição de ofício/mandado ao leiloeiro oficial TABA LEILÕES; (b) a citação dos réus; (c) a condenação da ré (Erbe) a promover a alienação direta das vagas ao condomínio em condições justas e proporcionais ao valor de mercado; além do pagamento das custas processuais e honorários advocatícios. Dá-se à causa o valor de R$ 40.000,00</t>
  </si>
  <si>
    <t>CAJAMAR Q25_VIVA ALEGRIA SONHO</t>
  </si>
  <si>
    <t>CONDOMINIO VIVA ALEGRIA SONHO</t>
  </si>
  <si>
    <t>projuris-75006</t>
  </si>
  <si>
    <t>4000988-46.2025.8.26.0108</t>
  </si>
  <si>
    <t>CNPJ/ME 45.751.435/0001-06</t>
  </si>
  <si>
    <t>45.751.435/0001-06</t>
  </si>
  <si>
    <t>Setor das Execuções Fiscais Municipais - Paulínia, SP/TJSP</t>
  </si>
  <si>
    <t>Trata-se de Execução Fiscal. 
Tributo: IPTU
Exercício: 2020, 2022
Endereço: : Rua Antonio Nemesio de Souza, 90, Parque Brasil 500, Paulinia/SP - CEP: 13140-000</t>
  </si>
  <si>
    <t>REAL PARK PAULINIA</t>
  </si>
  <si>
    <t>ERBE INCORPORADORA 020 LTDA.</t>
  </si>
  <si>
    <t>PREFEITURA DO MUNICIPIO DE PAULINIA</t>
  </si>
  <si>
    <t>projuris-75003</t>
  </si>
  <si>
    <t>1500708-50.2023.8.26.0428</t>
  </si>
  <si>
    <t>Trata-se de Execução Fiscal. 
Natureza: IPTU e Taxa de Lixo
Exercicio: 2023, 2024
Endereço: Rua Romédio Dorigo, nº 85, Apto 704, Residencial Younique Ed, Torre B, Água Verde, CEP 80620-140</t>
  </si>
  <si>
    <t>projuris-75005</t>
  </si>
  <si>
    <t>0026579-20.2025.8.16.0185</t>
  </si>
  <si>
    <t>CPF/ME 343.491.381-53</t>
  </si>
  <si>
    <t>343.491.381-53</t>
  </si>
  <si>
    <t>8ª Vara Cível - Cuiabá, MT/TJMT</t>
  </si>
  <si>
    <t>Dano Material l Moral</t>
  </si>
  <si>
    <t>Trata-se de ação INDENIZAÇÃO POR DANOS MORAIS E MATERIAIS E PEDIDO DE JUSTIÇA GRATUITA, referente à unidade 405, Bloco B, do empreendimento Alvorada Cuiabá, proposta em razão de atraso de 18 meses na entrega do imóvel (prometido para 10/2015 e entregue apenas em 03/2017), ausência de construção da área comum e garagens, entrega em padrão inferior ao anunciado e prática de venda casada no financiamento. Diante disso, foi atribuída à causa o valor de R$ 233.000,00.
Dessa forma, a Requerida foi condenada por revelia, fixando-se indenização de R$ 10.000,00 a título de danos morais e lucros cessantes, encontrando-se o processo atualmente em fase de cumprimento de sentença para pagamento do valor.</t>
  </si>
  <si>
    <t>ALVORADA CUIABÁ_CON QD5_F2_BL B</t>
  </si>
  <si>
    <t>DIRCE DOS ANTOS LIMA MORAES</t>
  </si>
  <si>
    <t>projuris-75004</t>
  </si>
  <si>
    <t>1026005-72.2019.8.11.0041</t>
  </si>
  <si>
    <t>5ª Vara Cível - São Caetano do Sul, SP/TJSP</t>
  </si>
  <si>
    <t>Trata-se de Ação de Produção Antecipada de Provas, referente a ocorrência de Danos Materias no Edifício pertencente ao Condomínio HELBOR OFFICES SÃO CAETANO, localizado na Rua Manoel Coelho, nº 676, São Caetano do Sul. Diante da gravidade dos danos, o condomínio entende ser imprescindível a produção antecipada de provas para verificar a responsabilidade da construtora  HESA 34 - INVESTIMENTOS IMOBILIÁRIOS LTDA., responsável pela execução da obra, pelos vícios construtivos que culminaram no desprendimento da fachada. A produção de provas técnicas se faz necessária para fundamentar eventual ação de reparação de danos contra a construtora, caso se constate a responsabilidade desta pelos defeitos. Assim, requer a citação da parte ré; A concessão da produção antecipada de provas; A inversão do ônus da prova; Atribui-se à causa o valor de R$1.000,00.</t>
  </si>
  <si>
    <t>HELBOR OFFICE SÃO CAETANO_MANUTENÇÃO</t>
  </si>
  <si>
    <t>CONDOMINIO EDIFICIO HELBOR OFFICES SAO CAETANO</t>
  </si>
  <si>
    <t>projuris-74999</t>
  </si>
  <si>
    <t>1003595-70.2025.8.26.0565</t>
  </si>
  <si>
    <t>Trata-se de execução fiscal
Tributo: IPTU 
Exercício: 2017, 2018,2019, 2020, 2021, 2022, 2023 e 2024
Endereço: AV MOFARREJ 00348 CJ 1311 E VGVILA LEOPOLDINA05311-000 - SAO PAULO - SP</t>
  </si>
  <si>
    <t>UPPER LIVING E OFFICE</t>
  </si>
  <si>
    <t>projuris-74997</t>
  </si>
  <si>
    <t>1520187-05.2025.8.26.0090</t>
  </si>
  <si>
    <t>Trata-se de execução fiscal
Tributo: IPTU 
Exercício:2019, 2020, 2021, 2022, 2023 e 2024
Endereço: AV SAO PAULO PARANA 10100 AP 72 BLOCO AVILA PIRAJUSSARA SUBCOND RESIDENCIAL05574-001 - SAO PAULO - SP</t>
  </si>
  <si>
    <t>SMILEY HOME RESORT_OASIS</t>
  </si>
  <si>
    <t>projuris-74996</t>
  </si>
  <si>
    <t>1520803-77.2025.8.26.0090</t>
  </si>
  <si>
    <t>Trata-se de execução fiscal
Tributo: IPTU 
Exercício: 2021, 2022, 2023 e 2024
Endereço: AV ROUXINOL 00057 AP 1205 VGINDIANOPOLIS ED MELIA CONFORT04516-000 - SAO PAULO - SP</t>
  </si>
  <si>
    <t>MELIA CONFORT MOEMA</t>
  </si>
  <si>
    <t>projuris-74995</t>
  </si>
  <si>
    <t>1522147-93.2025.8.26.0090</t>
  </si>
  <si>
    <t>Trata-se de execução fiscal
Tributo: IPTU 
Exercício: 2021, 2022, 2023 e 2024
Endereço: AL CAMPINAS 01446 AP 22 E 3 VGJARDIM PAULISTA EDIFICIO LE LOCLE01404-002 - SAO PAULO - SP</t>
  </si>
  <si>
    <t>LE LOCLE JARDINS</t>
  </si>
  <si>
    <t>projuris-74994</t>
  </si>
  <si>
    <t>1521513-97.2025.8.26.0090</t>
  </si>
  <si>
    <t>CPF/ME 033.137.044-17</t>
  </si>
  <si>
    <t>033.137.044-17</t>
  </si>
  <si>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</si>
  <si>
    <t>ROSANGELA MARIA DA SILVA</t>
  </si>
  <si>
    <t>projuris-74993</t>
  </si>
  <si>
    <t>0806353-16.2025.8.19.0075</t>
  </si>
  <si>
    <t>CPF/ME 142.131.568-85</t>
  </si>
  <si>
    <t>142.131.568-85</t>
  </si>
  <si>
    <t>Trata-se de ação de Adjudicação Compulsória (Obrigação De Fazer) contra a Erbe, referente a unidade 701, bloco 05, do Condomínio Doce Lar Bella Colônia, situado na Avenida Dr. Gilberto L.P. Silva, s/nº, na cidade de Jundiaí/SP. A autora alega que comprovaram a quitação integral do valor do imóvel, bem como se encontram em plena posse do imóvel há quase uma década, de modo que a Requerida Erbe, embora ciente da obrigação, recusa-se a lavrar a escritura.
Com isso, requer a condenação da Ré em: (i) A procedência total da ação, com a condenação da ré na obrigação de fazer consistente na outorga da escritura definitiva de compra e venda do imóvel descrito na inicial, em favor dos autores (iii) A condenação da ré ao pagamento das custas processuais e honorários advocatícios. Dá-se à causa o valor de  R$ 111.410,16.</t>
  </si>
  <si>
    <t>BELLA COLÔNIA F4.1</t>
  </si>
  <si>
    <t>ERBE INCORPORADORA 067 LTDA.</t>
  </si>
  <si>
    <t>MARCELO MARTINS CATROQUE</t>
  </si>
  <si>
    <t>projuris-74988</t>
  </si>
  <si>
    <t>4002728-18.2025.8.26.0309</t>
  </si>
  <si>
    <t>CNPJ/ME 24081679000159</t>
  </si>
  <si>
    <t>24081679000159</t>
  </si>
  <si>
    <t>FERRO, CASTRO NEVES, DALTRO &amp; GOMIDE ADVOGADOS - FCDG</t>
  </si>
  <si>
    <t>Protesto Judicial</t>
  </si>
  <si>
    <t>2ª Vara Cível - Rio de Janeiro, RJ/TJRJ</t>
  </si>
  <si>
    <t>Trata-se de Protesto Interruptivo de Prescrição, com o objetivo de preservar o direito do CONDOMÍNIO WWO de compelir a ERBE a reparar os diversos vícios construtivos verificados no empreendimento, conforme constatado nos laudos de vistoria técnica elaborados pelas empresas Certenge Engenharia ("CERTENGE") e Palomanes Consultoria e Serviços ("PALOMANES"). Cumpre destacar que o CONDOMÍNIO WWO ajuizou a produção antecipada de provas sob o nº 0836072-18.2023.8.19.0203, bem como a ação judicial nº 083138998.2024.8.19.0203, na qual requereu a concessão de tutela de urgência. Diante disso, requer-se a citação da requerida pela via postal,  para que tome ciência desta notificação judicial de protesto, interrompendo-se, assim, o prazo prescricional relativo à presente pretensão. Atribui-se à causa o valor de R$ 1.000,00 (mil reais), tendo o CONDOMÍNIO WWO recolhido as custas iniciais correspondentes.</t>
  </si>
  <si>
    <t>projuris-74992</t>
  </si>
  <si>
    <t>0940099-08.2025.8.19.0001</t>
  </si>
  <si>
    <t>CPF/ME 871.405.518-04</t>
  </si>
  <si>
    <t>871.405.518-04</t>
  </si>
  <si>
    <t>Vara Cível - Santo Amaro, SP/TJSP</t>
  </si>
  <si>
    <t>Trata-se de ação de obrigação de fazer com indenização por dano in re ipsa, referente à Unidade Autônoma nº 153, localizada no Bloco A, na Rua Barão do Triunfo, nº 142, Brooklin, denominada Condomínio Espaço das Artes. A Autora alega ter quitado integralmente o Compromisso de Compra e Venda firmado entre as partes, sendo que a Ré (Erbe) se recusa a outorgar a escritura definitiva.
A Autora buscou a regularização de forma amigável, mas a Ré condicionou o ato à apresentação da via original do contrato, documento que nenhuma das partes possui. Assim, requer a citação da Ré para assinatura da escritura, sob pena de multa diária não inferior a R$ 500,00, bem como a condenação ao pagamento de indenização pelo descumprimento da obrigação de fazer. Dá-se à causa o valor de R$ 10.000,00.</t>
  </si>
  <si>
    <t>DINAH SARTO</t>
  </si>
  <si>
    <t>projuris-74990</t>
  </si>
  <si>
    <t>4016651-62.2025.8.26.0002</t>
  </si>
  <si>
    <t>CPF/ME 004.576.857-94</t>
  </si>
  <si>
    <t>004.576.857-94</t>
  </si>
  <si>
    <t>Recursal</t>
  </si>
  <si>
    <t>VALTAIR DE SOUZA SILVA</t>
  </si>
  <si>
    <t>projuris-74987</t>
  </si>
  <si>
    <t>0806505-08.2025.8.19.0029</t>
  </si>
  <si>
    <t>CPF/ME 032.503.057-07</t>
  </si>
  <si>
    <t>032.503.057-07</t>
  </si>
  <si>
    <t>MARIA MARGARIDA DE SOUZA PROCOPIO</t>
  </si>
  <si>
    <t>projuris-74986</t>
  </si>
  <si>
    <t>0806218-04.2025.8.19.0075</t>
  </si>
  <si>
    <t>CPF/ME 399.473.430-49</t>
  </si>
  <si>
    <t>399.473.430-49</t>
  </si>
  <si>
    <t>HAROLDO NOGUEIRA ALVES</t>
  </si>
  <si>
    <t>projuris-74985</t>
  </si>
  <si>
    <t>0806182-59.2025.8.19.0075</t>
  </si>
  <si>
    <t>CNPJ/ME 00.489.828/0009-02</t>
  </si>
  <si>
    <t>00.489.828/0009-02</t>
  </si>
  <si>
    <t>Administrativo - Santana de Parnaíba, SP/Administrativo</t>
  </si>
  <si>
    <t>Laudêmio</t>
  </si>
  <si>
    <t>Unidade nº 113 C, Rua Marcos Penteado de Ulhoa Rodrigues, nº 624, Empreendimento The Penthouses Tamboré Soho, Santana de Parnaíba/SP, CEP 06543-001
Natureza: Foro
RIP 7047 0106039-26
Exercício e Valores: Ano 2022 - R$ 218,39; Ano 2021 - R$ 211,81; Ano 2023 - R$ 304,84; Ano 2024 -R$ 307,57 = R$ 1.042,61</t>
  </si>
  <si>
    <t>THE PENTHOUSES TAMBORÉ</t>
  </si>
  <si>
    <t>SECRETARIA DO PATRIMÔNIO DA UNIÃO</t>
  </si>
  <si>
    <t>projuris-74981</t>
  </si>
  <si>
    <t>RIP 7047 0106030-98</t>
  </si>
  <si>
    <t>Trata-se de Notificação de débitos.
Endereço: Unidade nº 84 C, Rua Marcos Penteado de Ulhoa Rodrigues, nº 624, Empreendimento The Penthouses Tamboré Soho, Santana de Parnaíba/SP, CEP 06543-001
Natureza: Foro
RIP 7047 0106019-82
Exercício e Valores: Ano 2022 - R$ 218,39; Ano 2021 - R$ 211,81; Ano 2023 - R$ 304,84; Ano 2024 -R$ 307,57 = R$ 1.042,61</t>
  </si>
  <si>
    <t>projuris-74980</t>
  </si>
  <si>
    <t>RIP 7047 0106019-82</t>
  </si>
  <si>
    <t>Trata-se de Notificação de débitos.
Endereço: Unidade nº 134 C, Rua Marcos Penteado de Ulhoa Rodrigues, nº 624, Empreendimento The Penthouses Tamboré Soho, Santana de Parnaíba/SP, CEP 06543-001
Natureza: Foro
RIP 7047 0106039-26
Exercício e Valores: Ano 2022 - R$ 218,39;  Ano 2021 - R$ 211,81; Ano 2023 - R$ 304,84; Ano 2024 -R$ 307,57 = R$ 1.042,61</t>
  </si>
  <si>
    <t>projuris-74979</t>
  </si>
  <si>
    <t>RIP 7047 0106039-26</t>
  </si>
  <si>
    <t>Trata-se de Notificação de débitos.
Endereço: Av Presidente Wilson, 228, Segundo Pavimento, Rio de Janeiro/RJ - CEP 20030-020
Natureza: Foro
RIP 6001 0107242-07
Exercício e Valores: Ano 2023 - R$ 3.718,89</t>
  </si>
  <si>
    <t>C. EMP. MOURISCO_PRESIDENTE WILSON</t>
  </si>
  <si>
    <t>projuris-74977</t>
  </si>
  <si>
    <t>RIP 6001 0120212-03</t>
  </si>
  <si>
    <t>Trata-se de Notificação de débitos.
Endereço: Unidade nº  44 B, Rua Marcos Penteado de Ulhoa Rodrigues, nº 624, Empreendimento The Penthouses Tamboré Soho, Santana de Parnaíba/SP, CEP 06543-001
Natureza: Foro
RIP: 7047 0105947-57
Exercício e Valores: Ano 2022 - R$ 253,72; Ano 2021 - R$ 246.12; Ano 2023 - R$ 354,14; Ano 2024 -R$ 357,32 = R$ 1.211,30</t>
  </si>
  <si>
    <t>projuris-74976</t>
  </si>
  <si>
    <t>RIP 7047 0105947-57</t>
  </si>
  <si>
    <t>Trata-se de Notificação de débitos.
Endereço: Unidade nº 12 C, Rua Marcos Penteado de Ulhoa Rodrigues, nº 624, Empreendimento The Penthouses Tamboré Soho, Santana de Parnaíba/SP, CEP 06543-001
Natureza: Foro
RIP 7047 0105989-06
Exercício e Valores: Ano 2022 - R$ 218,39; Ano 2021 - R$ 211,81; Ano 2023 - R$ 304,84; Ano 2024 -R$ 307,57 = R$ 1.042,61</t>
  </si>
  <si>
    <t>projuris-74975</t>
  </si>
  <si>
    <t>RIP 7047 0105989-06</t>
  </si>
  <si>
    <t>Trata-se de Notificação de débitos.
Endereço: Unidade nº 324C, Rua Marcos Penteado de Ulhoa Rodrigues, nº 624, Empreendimento The Penthouses Tamboré Soho, Santana de Parnaíba/SP, CEP 06543-001
Natureza: Foro
RIP 7047 0105995-54
Exercício e Valores: Ano 2022 - R$ 218,39; Ano 2021 - R$ 211,81; Ano 2023 - R$ 304,84; Ano 2024 -R$ 307,57 = R$ 1.042,61</t>
  </si>
  <si>
    <t>projuris-74974</t>
  </si>
  <si>
    <t>RIP 7047 0105995-54</t>
  </si>
  <si>
    <t>Trata-se de Notificação de débitos.
Endereço: Unidade nº 31 b, Rua Marcos Penteado de Ulhoa Rodrigues, nº 624, Empreendimento The Penthouses Tamboré Soho, Santana de Parnaíba/SP, CEP 06543-001
Natureza: Foro
RIP: 7047 0105940-80
Exercício e Valores: Ano 2022 - R$ 253,72; Ano 2021 - R$ 246.12; Ano 2023 - R$ 354,14; Ano 2024 -R$ 357,32 = R$ 1.211,30</t>
  </si>
  <si>
    <t>projuris-74973</t>
  </si>
  <si>
    <t>RIP 7047 0105940-80</t>
  </si>
  <si>
    <t>Administrativo - Barueri, SP/Administrativo</t>
  </si>
  <si>
    <t>Trata-se de Notificação de débitos.
Endereço: Avenida Parkinson, nº 35, Apto 2601, Barueri/SP , CEP 06465-136
Natureza: Foro
RIP: 6213 0110095-16
Exercício e Valores: Ano 2023 - R$ 1.324,73</t>
  </si>
  <si>
    <t>projuris-74972</t>
  </si>
  <si>
    <t>RIP 6213 0110095-16</t>
  </si>
  <si>
    <t>Trata-se de Notificação de débitos.
Endereço: Unidade nº 53 B, Rua Marcos Penteado de Ulhoa Rodrigues, nº 624, Empreendimento The Penthouses Tamboré Soho, Santana de Parnaíba/SP, CEP 06543-001
Natureza: Foro
RIP: 7047 0105950-52
Exercício e Valores: Ano 2021 - R$ 246,12;  Ano 2022 - R$  253,72; Ano 2023 - R$ 354,14; Ano 2024 - R$ 357,32; = R$ 1.211,30</t>
  </si>
  <si>
    <t>projuris-74971</t>
  </si>
  <si>
    <t>RIP 7047 0105950-52</t>
  </si>
  <si>
    <t>Trata-se de Notificação de débitos.
Endereço: Avenida Parkinson, nº 35, Apto 1702, Barueri/SP , CEP 06465-136
Natureza: Foro
RIP 6213 0110069-24
Exercício e Valores: Ano 2023 - R$ 1.312,23</t>
  </si>
  <si>
    <t>projuris-74970</t>
  </si>
  <si>
    <t>RIP 6213 0110069-24</t>
  </si>
  <si>
    <t>Trata-se de Notificação de débitos.
Endereço: Avenida Parkinson, nº 35, Apto 1701, Barueri/SP , CEP 06465-136
Natureza: Foro
RIP 6213 0110068-43
Exercício e Valores: Ano 2023 - R$ 1.324,73</t>
  </si>
  <si>
    <t>projuris-74969</t>
  </si>
  <si>
    <t>RIP 6213 0110068-43</t>
  </si>
  <si>
    <t>Trata-se de Notificação de débitos.
Endereço: Avenida Parkinson, nº 35, Apto 1201, Barueri/SP , CEP 06465-136
Natureza: Foro
RIP: 6213 0110053-67
Exercício e Valores: Ano 2023 - R$ 1.324,73</t>
  </si>
  <si>
    <t>projuris-74968</t>
  </si>
  <si>
    <t>RIP 6213 0110053-67</t>
  </si>
  <si>
    <t>Trata-se de Notificação de débitos.
Endereço: Av Delmar Green Valley I, Lote 05 QD B, Alphaville Empresarial, Barueri/SP - CEP 06465-135
Natureza: Foro
RIP  6213 0108140-08
Exercício e Valores: Ano 2023 - R$ 23.239,67</t>
  </si>
  <si>
    <t>GREEN VALLEY OFFICE PARK</t>
  </si>
  <si>
    <t>projuris-74967</t>
  </si>
  <si>
    <t>RIP 6213 0108140-08</t>
  </si>
  <si>
    <t>Trata-se de Notificação de débitos.
Endereço: Avenida Parkinson, nº 35, Apto 1101, Barueri/SP , CEP 06465-136
Natureza: Foro
RIP: 6213 0110050-14
Exercício e Valores: Ano 2023 - R$ 1.324,73</t>
  </si>
  <si>
    <t>projuris-74965</t>
  </si>
  <si>
    <t>RIP 6213 0110050-14</t>
  </si>
  <si>
    <t>Trata-se de Notificação de débitos.
Endereço: Av Parkinson Green Valley, 35, Apto 601, GREEN VALLEY I, Lote 04, QDB, Barueri/SP - CEP 06466-134
Natureza: Foro
RIP 6213 0110035-85
Exercício e Valores: Ano 2023 - R$ 1.324,73</t>
  </si>
  <si>
    <t>projuris-74964</t>
  </si>
  <si>
    <t>RIP 6213 0110035-85</t>
  </si>
  <si>
    <t>Administrativo - Rio de Janeiro, RJ/Administrativo</t>
  </si>
  <si>
    <t>Trata-se de Notificação de débitos.
Endereço: Av Presidente Wilson, 228, Décimo Terceito Pavimento, Rio de Janeiro/RJ - CEP 20030-020
Natureza: Foro
RIP 6001 0107245-50
Exercício e Valores: Ano 2023 - R$ 3.076.17</t>
  </si>
  <si>
    <t>projuris-74963</t>
  </si>
  <si>
    <t>RIP 6001 0107245-50</t>
  </si>
  <si>
    <t>Trata-se de Notificação de débitos.
Endereço: Av Presidente Wilson, 228, Sexto Pavimento, Rio de Janeiro/RJ - CEP 20030-020
Natureza: Foro
RIP 6001 0107242-07
Exercício e Valores: Ano 2023 - R$ 3.899,12</t>
  </si>
  <si>
    <t>projuris-74962</t>
  </si>
  <si>
    <t>RIP 6001 0107242-07</t>
  </si>
  <si>
    <t>Trata-se de Notificação de débitos.
Endereço:  Av Delmar Green Valley I, Lote 06 QD B, Alphaville Empresarial, Barueri/SP - CEP 06465-135 
Natureza: Foro
RIP 6213 0108134-51
Exercício e Valores: Ano 2023 - R$ 65.569,05</t>
  </si>
  <si>
    <t>projuris-74960</t>
  </si>
  <si>
    <t>RIP 6213 0108134-51</t>
  </si>
  <si>
    <t>CPF/ME 493.767.481-15</t>
  </si>
  <si>
    <t>493.767.481-15</t>
  </si>
  <si>
    <t>Trata-se de AÇÃO DE INDENIZAÇÃO POR DANOS MORAIS, referente ao apartamento 801 da Torre A3 do Setor Invent Max.
O autor alega que cumpriu rigorosamente com todas as suas obrigações previstas no contrato, inclusive, efetivando o pagamento integral do imóvel.
Entretanto, até o presente momento, apesar de formalmente já haver ocorrido a entrega da unidade, somente a parte do imóvel referente à área privativa do apartamento fora entregue, restando, portanto, inadimplida a obrigação de entrega Clube de Lazer.
Sendo assim requer que: I) Condenação das partes rés ao pagamento de indenização por danos morais no valor de R$ 20.000,00.</t>
  </si>
  <si>
    <t>WALTER VERONEZI JÚNIOR</t>
  </si>
  <si>
    <t>projuris-74959</t>
  </si>
  <si>
    <t>5710894-50.2025.8.09.0051</t>
  </si>
  <si>
    <t>CNPJ/ME 19383026000194</t>
  </si>
  <si>
    <t>19383026000194</t>
  </si>
  <si>
    <t>6ª Vara Cível - Cuiabá, MT/TJMT</t>
  </si>
  <si>
    <t>Trata-se de ação de cobrança C/C tutela de urgência, referente a unidade 803, bloco3, do condomínio RESIDENCIAL BONAVITA.
O réu é atual proprietário da unidade em questão, estando em mora quanto ao pagamento das taxas condominiais, relacionadas a junho/2024 a dezembro/2024, totalizando o valor de R$ 10.405,35. 
Sendo assim, requer que: I) Concessão de tutela provisória de urgência, para que haja a prenotação na matricula do imóvel, constando a existência dos presentes autos; II) julgar procedente a presente ação, condenando o réu ao pagamento das cotas condominiais vencidas e vincendas até o efetivo pagamento, com acréscimo correção, juros demora e multa, além de condena-lo ao pagamento de custas e despesas processuais;
Estima-se á causa o valor de R$ 10.405,35</t>
  </si>
  <si>
    <t>BONAVITA_PARQUE IMPERIAL_BL C</t>
  </si>
  <si>
    <t>ERBE INCORPORADORA 076 LTDA.</t>
  </si>
  <si>
    <t>CONDOMINIO RESIDENCIAL BONAVITA</t>
  </si>
  <si>
    <t>projuris-74957</t>
  </si>
  <si>
    <t>1084932-21.2025.8.11.0041</t>
  </si>
  <si>
    <t>CNPJ/ME 41.341.232/0001-90</t>
  </si>
  <si>
    <t>41.341.232/0001-90</t>
  </si>
  <si>
    <t>Trata-se de ação de execução de título extrajudicial proposta pelo Holder Fundo de Investimento em Direitos Creditórios Não Padronizados - FIDC NP, em razão da cessão onerosa de créditos condominiais referentes à unidade nº 2405, pavimento 24, Torre B, do Condomínio Alvorada Cuiabá.
O Exequente alega que a Executada deixou de adimplir as despesas condominiais, cujo valor atualizado perfaz R$ 8.251,33, e requer a condenação ao pagamento, com possibilidade de penhora de bens e inscrição em cadastros restritivos de crédito.</t>
  </si>
  <si>
    <t>CONDOMÍNIO HELBOR DUAL BUSINESS OFFICE &amp; CORPORATE</t>
  </si>
  <si>
    <t>projuris-74954</t>
  </si>
  <si>
    <t>1023295-40.2023.8.11.0041</t>
  </si>
  <si>
    <t>CPF/ME 065.142.938-24</t>
  </si>
  <si>
    <t>065.142.938-24</t>
  </si>
  <si>
    <t>Trata-se de ação de adjudicação compulsória c/c obrigação de fazer com pedido liminar, referente à unidade autônoma nº 1816, localizada no 18º pavimento da Torre Urban Office, integrante do Condomínio Urban Pacaembu, situado na Rua Conselheiro Brotero, nº 528, Barra Funda, São Paulo/SP, matrícula nº 233.130 do 15º Registro de Imóveis da Capital. Os autores alegam quitação integral do preço e outorga de escritura pública em 26/12/2024, mas impossibilidade de registro por ausência de documentos que são de responsabilidade da Ré (Erbe).
Diante da inércia da Ré em providenciar a documentação exigida pelo cartório, os autores requerem a adjudicação compulsória para suprir a vontade da ré, viabilizando o registro da escritura em seu favor, bem como tutela liminar para averbação provisória da demanda. Dá-se à causa o valor de R$ 253.761,00.</t>
  </si>
  <si>
    <t>URBAN LIVING E OFFICE_CONS BROTERO</t>
  </si>
  <si>
    <t>JOÃO DA SILVA LEITE</t>
  </si>
  <si>
    <t>projuris-74940</t>
  </si>
  <si>
    <t>4019910-62.2025.8.26.0100</t>
  </si>
  <si>
    <t>CPF/ME 795.955.291-68</t>
  </si>
  <si>
    <t>795.955.291-68</t>
  </si>
  <si>
    <t>Trata-se ação de indenização por danos morais, referente a unidade 1805, localizado no Bloco 2, empreendimento IINVENT COND JOY_NOVO HORIZONTE_C 05 .
O autor alega que a Ré (Erbe) deixou de adimplir com sua obrigação de entrega do Clube de Lazer: a conter uma academia com 2 pavimentos. Dessa forma,  requer a das partes rés ao pagamento de indenização por danos morais no valor de R$ 20.000,00 para cada autor. Dá- se a causa o valor de R$ 40.000,00</t>
  </si>
  <si>
    <t>INVENT COND JOY_NOVO HORIZONTE_C 05</t>
  </si>
  <si>
    <t>BEIGMAR DIAS NICÁCIO</t>
  </si>
  <si>
    <t>projuris-74935</t>
  </si>
  <si>
    <t>5688116-86.2025.8.09.0051</t>
  </si>
  <si>
    <t>CPF/ME 641.205.031-00</t>
  </si>
  <si>
    <t>641.205.031-00</t>
  </si>
  <si>
    <t>1ª Vara do Juizado Especial Cível - Goiânia, GO/TJGO</t>
  </si>
  <si>
    <t>Trata-se ação de indenização por danos morais, referente a unidade 701, localizado no Bloco A3, empreendimento INVENT COND MAX_NOVO HORIZONTE_BL A3.
O autor alega que a Ré (Erbe) deixou de adimplir com sua obrigação de entrega do Clube de Lazer: a conter uma academia com 2 pavimentos. Dessa forma,  requer a condenação das rés ao pagamento de R$ 40.000,00 para a autora a título de danos morais.</t>
  </si>
  <si>
    <t>GISLAINE VALERIO DE LIMA TEDESCO</t>
  </si>
  <si>
    <t>projuris-74934</t>
  </si>
  <si>
    <t>5688770-73.2025.8.09.0051</t>
  </si>
  <si>
    <t>CPF/ME 082.430.198-63</t>
  </si>
  <si>
    <t>082.430.198-63</t>
  </si>
  <si>
    <t>6ª Vara Cível - Santo Amaro, SP/TJSP</t>
  </si>
  <si>
    <t>Trata-se AÇÃO DE ADJUDICAÇÃO COMPULSÓRIA, referente a CASA DE BOULEVERD Nº 010 - Tipo 1, com frente para a Alameda dos Buritis, localizada na quadra "CANÁRIO" (Quadra 1), integrante da "FASE I" do empreendimento denominado "CONDOMÍNIO TERRARA", situado à Avenida Interlagos, nº 4455.
O Autor alega que o imóvel se encontra integralmente  e, apesar disso, o Autor não conseguiu até a data presente por meios normais e próprios, a obtenção da legalização imobiliária da propriedade, desta forma, não vislumbrou outra opção senão a abertura do presente feito. Dessa forma, requer que seja julgada totalmente procedente a presente ação de adjudicação compulsória. Dá-se a causa o valor de R$ 294.448,00.</t>
  </si>
  <si>
    <t>TERRARA DAS HORTENSIAS</t>
  </si>
  <si>
    <t>RONALDO BRITO DE OLIVEIRA</t>
  </si>
  <si>
    <t>projuris-74932</t>
  </si>
  <si>
    <t>4007899-04.2025.8.26.0002</t>
  </si>
  <si>
    <t>BP x Valor pedido</t>
  </si>
  <si>
    <t>Macro assunto</t>
  </si>
  <si>
    <t>BP26</t>
  </si>
  <si>
    <t>Valor Pedido</t>
  </si>
  <si>
    <t>Valor Pedido Objeto Corrigido</t>
  </si>
  <si>
    <t>Objeto</t>
  </si>
  <si>
    <t xml:space="preserve">Valor Garantia Atualizado </t>
  </si>
  <si>
    <t>Valor Garantia</t>
  </si>
  <si>
    <t>Garantia</t>
  </si>
  <si>
    <t>Data Cálculo</t>
  </si>
  <si>
    <t>Valor Pedido Atualizado</t>
  </si>
  <si>
    <t>Motivo da Baixa Provisória</t>
  </si>
  <si>
    <t>Data</t>
  </si>
  <si>
    <t>Valor da Causa</t>
  </si>
  <si>
    <t>Documento Adverso Principal</t>
  </si>
  <si>
    <t>Documento Principal Adverso</t>
  </si>
  <si>
    <t xml:space="preserve">Empresa </t>
  </si>
  <si>
    <t>Advogado Principal da Parte Adversa</t>
  </si>
  <si>
    <t>Créditos em favor da Erbe</t>
  </si>
  <si>
    <t>Total das Garantias</t>
  </si>
  <si>
    <t>Advogados da Parte Adversa</t>
  </si>
  <si>
    <t>Valor Perda Remota Atualizado</t>
  </si>
  <si>
    <t>Valor Possível Atualizado</t>
  </si>
  <si>
    <t>Valor Provável Atualizado</t>
  </si>
  <si>
    <t>Valor Perda Remota</t>
  </si>
  <si>
    <t>Valor Perda Possível</t>
  </si>
  <si>
    <t>Valor Perda Provável</t>
  </si>
  <si>
    <t>Fluxo de Caixa</t>
  </si>
  <si>
    <t>Previsão de Desembolso</t>
  </si>
  <si>
    <t>Sentença</t>
  </si>
  <si>
    <t>Advogado interno principal</t>
  </si>
  <si>
    <t>Valor da causa</t>
  </si>
  <si>
    <t>Data de Início</t>
  </si>
  <si>
    <t>Data de cadastro</t>
  </si>
  <si>
    <t>Data de Encerramento</t>
  </si>
  <si>
    <t>Motivo Encerramento</t>
  </si>
  <si>
    <t>Tipo de Ação</t>
  </si>
  <si>
    <t>Fase Atual</t>
  </si>
  <si>
    <t>Procedimento</t>
  </si>
  <si>
    <t>UF Foro</t>
  </si>
  <si>
    <t>Jurisdição Atual</t>
  </si>
  <si>
    <t>Assunto Principal</t>
  </si>
  <si>
    <t>Resumo do processo</t>
  </si>
  <si>
    <t>Unidade de Negócio</t>
  </si>
  <si>
    <t>Empreendimento</t>
  </si>
  <si>
    <t>Natureza Financeira</t>
  </si>
  <si>
    <t>Escritório</t>
  </si>
  <si>
    <t>Status</t>
  </si>
  <si>
    <t>Réu</t>
  </si>
  <si>
    <t>Autor</t>
  </si>
  <si>
    <t>Natureza</t>
  </si>
  <si>
    <t>Serial Import</t>
  </si>
  <si>
    <t>Pasta</t>
  </si>
  <si>
    <t>Numero atual do processo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</si>
</sst>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R$&quot;\ * #,##0.00_-;\-&quot;R$&quot;\ * #,##0.00_-;_-&quot;R$&quot;\ * &quot;-&quot;??_-;_-@_-"/>
  </numFmts>
  <fonts count="2" x14ac:knownFonts="1">
    <font>
      <sz val="11"/>
      <color theme="1"/>
      <name val="Aptos Narrow"/>
      <family val="2"/>
      <scheme val="minor"/>
    </font>
    <font>
      <sz val="11"/>
      <color theme="1"/>
      <name val="Aptos Narrow"/>
      <family val="2"/>
      <scheme val="minor"/>
    </font>
  </fonts>
  <fills count="6">
    <fill>
      <patternFill patternType="none"/>
    </fill>
    <fill>
      <patternFill patternType="gray125"/>
    </fill>
    <fill>
      <patternFill patternType="solid">
        <fgColor theme="9" tint="0.59999389629810485"/>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9" tint="0.79998168889431442"/>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10">
    <xf numFmtId="0" fontId="0" fillId="0" borderId="0" xfId="0"/>
    <xf numFmtId="44" fontId="0" fillId="0" borderId="0" xfId="1" applyFont="1"/>
    <xf numFmtId="14" fontId="0" fillId="0" borderId="0" xfId="0" applyNumberFormat="1"/>
    <xf numFmtId="14" fontId="0" fillId="0" borderId="0" xfId="1" applyNumberFormat="1" applyFont="1"/>
    <xf numFmtId="44" fontId="0" fillId="2" borderId="0" xfId="1" applyFont="1" applyFill="1"/>
    <xf numFmtId="0" fontId="0" fillId="3" borderId="0" xfId="0" applyFill="1" applyAlignment="1">
      <alignment horizontal="left"/>
    </xf>
    <xf numFmtId="44" fontId="0" fillId="4" borderId="0" xfId="1" applyFont="1" applyFill="1"/>
    <xf numFmtId="0" fontId="0" fillId="5" borderId="0" xfId="0" applyFill="1"/>
    <xf numFmtId="0" fontId="0" fillId="0" borderId="0" xfId="0" applyAlignment="1">
      <alignment horizontal="center"/>
    </xf>
    <xf numFmtId="44" fontId="0" fillId="0" borderId="0" xfId="0" applyNumberFormat="1"/>
  </cellXfs>
  <cellStyles count="2">
    <cellStyle name="Moeda" xfId="1" builtinId="4"/>
    <cellStyle name="Normal" xfId="0" builtinId="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6F84BA-B4C9-40E5-B6B5-DB46DEE5FBAF}">
  <dimension ref="A1:BC235"/>
  <sheetViews>
    <sheetView tabSelected="1" topLeftCell="H1" workbookViewId="0">
      <selection activeCell="AS2" sqref="AS2"/>
    </sheetView>
  </sheetViews>
  <sheetFormatPr defaultRowHeight="14.5" x14ac:dyDescent="0.35"/>
  <cols>
    <col min="1" max="1" width="26.26953125" bestFit="1" customWidth="1"/>
    <col min="2" max="2" width="8" bestFit="1" customWidth="1"/>
    <col min="3" max="3" width="14.7265625" customWidth="1"/>
    <col min="4" max="4" width="12.54296875" customWidth="1"/>
    <col min="5" max="5" width="34.26953125" customWidth="1"/>
    <col min="6" max="6" width="13.54296875" customWidth="1"/>
    <col min="7" max="7" width="55.1796875" customWidth="1"/>
    <col min="8" max="8" width="29.81640625" customWidth="1"/>
    <col min="9" max="9" width="42.26953125" customWidth="1"/>
    <col min="10" max="10" width="47.453125" customWidth="1"/>
    <col min="11" max="11" width="20.7265625" customWidth="1"/>
    <col min="12" max="12" width="43.453125" customWidth="1"/>
    <col min="13" max="13" width="48.7265625" customWidth="1"/>
    <col min="14" max="14" width="10.7265625" customWidth="1"/>
    <col min="15" max="15" width="41.7265625" customWidth="1"/>
    <col min="16" max="16" width="55.7265625" customWidth="1"/>
    <col min="17" max="17" width="26.26953125" customWidth="1"/>
    <col min="18" max="18" width="19.26953125" customWidth="1"/>
    <col min="19" max="19" width="20.1796875" customWidth="1"/>
    <col min="20" max="20" width="28.81640625" customWidth="1"/>
    <col min="21" max="21" width="21.54296875" customWidth="1"/>
    <col min="22" max="22" width="22.26953125" customWidth="1"/>
    <col min="23" max="23" width="17.81640625" style="1" customWidth="1"/>
    <col min="24" max="24" width="31.26953125" style="1" customWidth="1"/>
    <col min="25" max="25" width="15.7265625" customWidth="1"/>
    <col min="26" max="26" width="22.26953125" customWidth="1"/>
    <col min="27" max="27" width="31.26953125" customWidth="1"/>
    <col min="28" max="28" width="18.26953125" customWidth="1"/>
    <col min="29" max="29" width="28" customWidth="1"/>
    <col min="30" max="41" width="8.81640625" customWidth="1"/>
    <col min="42" max="42" width="16.54296875" customWidth="1"/>
    <col min="43" max="43" width="8.81640625" customWidth="1"/>
    <col min="44" max="44" width="15.54296875" customWidth="1"/>
    <col min="45" max="45" width="22.26953125" bestFit="1" customWidth="1"/>
    <col min="46" max="46" width="19.54296875" style="2" customWidth="1"/>
    <col min="47" max="49" width="8.81640625" customWidth="1"/>
    <col min="50" max="50" width="14.7265625" customWidth="1"/>
    <col min="51" max="51" width="28.26953125" style="1" customWidth="1"/>
    <col min="52" max="52" width="15.54296875" customWidth="1"/>
    <col min="53" max="53" width="15.54296875" style="1" customWidth="1"/>
    <col min="54" max="54" width="15" bestFit="1" customWidth="1"/>
    <col min="55" max="55" width="17" bestFit="1" customWidth="1"/>
  </cols>
  <sheetData>
    <row r="1" spans="1:55" x14ac:dyDescent="0.35">
      <c r="B1" s="8">
        <f>COUNT(B3:B226)</f>
        <v>224</v>
      </c>
      <c r="AB1" s="9">
        <f>SUM(AB3:AB146)</f>
        <v>3176323.01</v>
      </c>
      <c r="AR1" s="1">
        <v>3176323.01</v>
      </c>
      <c r="AS1" s="1">
        <f>SUBTOTAL(9,AS3:AS226)</f>
        <v>27876906.069999997</v>
      </c>
      <c r="AY1" s="9">
        <f>SUBTOTAL(9,AY3:AY226)</f>
        <v>9894528.6500000022</v>
      </c>
      <c r="AZ1" s="9">
        <f>SUBTOTAL(9,AZ3:AZ226)</f>
        <v>9654444.5900000017</v>
      </c>
    </row>
    <row r="2" spans="1:55" x14ac:dyDescent="0.35">
      <c r="A2" t="s">
        <v>1353</v>
      </c>
      <c r="B2" s="8" t="s">
        <v>1352</v>
      </c>
      <c r="C2" t="s">
        <v>1351</v>
      </c>
      <c r="D2" t="s">
        <v>1350</v>
      </c>
      <c r="E2" t="s">
        <v>1349</v>
      </c>
      <c r="F2" t="s">
        <v>1348</v>
      </c>
      <c r="G2" t="s">
        <v>1347</v>
      </c>
      <c r="H2" t="s">
        <v>1346</v>
      </c>
      <c r="I2" t="s">
        <v>1345</v>
      </c>
      <c r="J2" t="s">
        <v>1344</v>
      </c>
      <c r="K2" t="s">
        <v>1343</v>
      </c>
      <c r="L2" t="s">
        <v>1342</v>
      </c>
      <c r="M2" t="s">
        <v>1341</v>
      </c>
      <c r="N2" t="s">
        <v>1340</v>
      </c>
      <c r="O2" t="s">
        <v>1339</v>
      </c>
      <c r="P2" t="s">
        <v>1338</v>
      </c>
      <c r="Q2" t="s">
        <v>1337</v>
      </c>
      <c r="R2" t="s">
        <v>1336</v>
      </c>
      <c r="S2" t="s">
        <v>1335</v>
      </c>
      <c r="T2" t="s">
        <v>1334</v>
      </c>
      <c r="U2" s="2" t="s">
        <v>1333</v>
      </c>
      <c r="V2" s="2" t="s">
        <v>1332</v>
      </c>
      <c r="W2" s="1" t="s">
        <v>1303</v>
      </c>
      <c r="X2" t="s">
        <v>1331</v>
      </c>
      <c r="Y2" t="s">
        <v>1330</v>
      </c>
      <c r="Z2" t="s">
        <v>1329</v>
      </c>
      <c r="AA2" t="s">
        <v>1328</v>
      </c>
      <c r="AB2" t="s">
        <v>1327</v>
      </c>
      <c r="AC2" t="s">
        <v>1326</v>
      </c>
      <c r="AD2" t="s">
        <v>1325</v>
      </c>
      <c r="AE2" t="s">
        <v>1324</v>
      </c>
      <c r="AF2" t="s">
        <v>1323</v>
      </c>
      <c r="AG2" t="s">
        <v>1322</v>
      </c>
      <c r="AH2" t="s">
        <v>1321</v>
      </c>
      <c r="AI2" t="s">
        <v>1320</v>
      </c>
      <c r="AJ2" t="s">
        <v>1319</v>
      </c>
      <c r="AK2" t="s">
        <v>1318</v>
      </c>
      <c r="AL2" t="s">
        <v>1317</v>
      </c>
      <c r="AM2" t="s">
        <v>1316</v>
      </c>
      <c r="AN2" t="s">
        <v>1315</v>
      </c>
      <c r="AO2" t="s">
        <v>1314</v>
      </c>
      <c r="AP2" t="s">
        <v>1313</v>
      </c>
      <c r="AQ2" t="s">
        <v>1312</v>
      </c>
      <c r="AR2" t="s">
        <v>1311</v>
      </c>
      <c r="AS2" s="7" t="s">
        <v>1310</v>
      </c>
      <c r="AT2" s="2" t="s">
        <v>1309</v>
      </c>
      <c r="AU2" t="s">
        <v>1308</v>
      </c>
      <c r="AV2" t="s">
        <v>1307</v>
      </c>
      <c r="AW2" t="s">
        <v>1306</v>
      </c>
      <c r="AX2" t="s">
        <v>1305</v>
      </c>
      <c r="AY2" s="1" t="s">
        <v>1304</v>
      </c>
      <c r="AZ2" s="6" t="s">
        <v>1303</v>
      </c>
      <c r="BA2" s="1" t="s">
        <v>1302</v>
      </c>
      <c r="BB2" s="5" t="s">
        <v>1301</v>
      </c>
      <c r="BC2" t="s">
        <v>1300</v>
      </c>
    </row>
    <row r="3" spans="1:55" x14ac:dyDescent="0.35">
      <c r="A3" t="s">
        <v>1299</v>
      </c>
      <c r="B3">
        <v>74932</v>
      </c>
      <c r="C3" t="s">
        <v>1298</v>
      </c>
      <c r="D3" t="s">
        <v>23</v>
      </c>
      <c r="E3" t="s">
        <v>1297</v>
      </c>
      <c r="F3" t="s">
        <v>18</v>
      </c>
      <c r="G3" t="s">
        <v>17</v>
      </c>
      <c r="H3" t="s">
        <v>16</v>
      </c>
      <c r="I3" t="s">
        <v>15</v>
      </c>
      <c r="J3" t="s">
        <v>1296</v>
      </c>
      <c r="K3" t="s">
        <v>13</v>
      </c>
      <c r="L3" t="s">
        <v>1295</v>
      </c>
      <c r="M3" t="s">
        <v>215</v>
      </c>
      <c r="N3" t="s">
        <v>1294</v>
      </c>
      <c r="O3" t="s">
        <v>9</v>
      </c>
      <c r="P3" t="s">
        <v>29</v>
      </c>
      <c r="Q3" t="s">
        <v>124</v>
      </c>
      <c r="R3" t="s">
        <v>213</v>
      </c>
      <c r="T3" s="2"/>
      <c r="U3" s="2">
        <v>45896</v>
      </c>
      <c r="V3" s="2">
        <v>45881</v>
      </c>
      <c r="W3" s="1">
        <v>588896</v>
      </c>
      <c r="X3">
        <v>294448</v>
      </c>
      <c r="Y3" t="s">
        <v>189</v>
      </c>
      <c r="Z3" t="s">
        <v>5</v>
      </c>
      <c r="AA3" s="2"/>
      <c r="AB3" s="1">
        <v>294448</v>
      </c>
      <c r="AC3" s="1">
        <v>0</v>
      </c>
      <c r="AD3" s="1">
        <v>588896</v>
      </c>
      <c r="AE3" s="1">
        <v>0</v>
      </c>
      <c r="AF3" s="1">
        <v>0</v>
      </c>
      <c r="AG3" s="1">
        <v>606073.74</v>
      </c>
      <c r="AH3" s="1">
        <v>0</v>
      </c>
      <c r="AI3" s="1">
        <v>606073.74</v>
      </c>
      <c r="AJ3" s="1"/>
      <c r="AK3">
        <v>0</v>
      </c>
      <c r="AN3" t="s">
        <v>1293</v>
      </c>
      <c r="AO3" t="s">
        <v>1292</v>
      </c>
      <c r="AP3" s="1">
        <v>294448</v>
      </c>
      <c r="AQ3" s="2"/>
      <c r="AS3" s="1">
        <v>309129.44</v>
      </c>
      <c r="AT3" s="3">
        <v>46022</v>
      </c>
      <c r="AU3" s="1"/>
      <c r="AV3" s="1"/>
      <c r="AX3" t="s">
        <v>2</v>
      </c>
      <c r="AY3" s="1">
        <v>0.03</v>
      </c>
      <c r="AZ3" s="1">
        <v>0.03</v>
      </c>
      <c r="BA3" s="1">
        <v>0.03</v>
      </c>
      <c r="BB3" t="s">
        <v>23</v>
      </c>
      <c r="BC3" t="b">
        <f>AZ3=BA3</f>
        <v>1</v>
      </c>
    </row>
    <row r="4" spans="1:55" x14ac:dyDescent="0.35">
      <c r="A4" t="s">
        <v>1291</v>
      </c>
      <c r="B4">
        <v>74934</v>
      </c>
      <c r="C4" t="s">
        <v>1290</v>
      </c>
      <c r="D4" t="s">
        <v>23</v>
      </c>
      <c r="E4" t="s">
        <v>1289</v>
      </c>
      <c r="F4" t="s">
        <v>336</v>
      </c>
      <c r="G4" t="s">
        <v>17</v>
      </c>
      <c r="H4" t="s">
        <v>181</v>
      </c>
      <c r="I4" t="s">
        <v>15</v>
      </c>
      <c r="J4" t="s">
        <v>724</v>
      </c>
      <c r="K4" t="s">
        <v>179</v>
      </c>
      <c r="L4" t="s">
        <v>1288</v>
      </c>
      <c r="M4" t="s">
        <v>202</v>
      </c>
      <c r="N4" t="s">
        <v>1287</v>
      </c>
      <c r="O4" t="s">
        <v>175</v>
      </c>
      <c r="P4" t="s">
        <v>29</v>
      </c>
      <c r="Q4" t="s">
        <v>124</v>
      </c>
      <c r="R4" t="s">
        <v>28</v>
      </c>
      <c r="T4" s="2"/>
      <c r="U4" s="2">
        <v>45901</v>
      </c>
      <c r="V4" s="2">
        <v>45896</v>
      </c>
      <c r="W4" s="1">
        <v>40000</v>
      </c>
      <c r="X4">
        <v>40000</v>
      </c>
      <c r="Y4" t="s">
        <v>147</v>
      </c>
      <c r="Z4" t="s">
        <v>5</v>
      </c>
      <c r="AA4" s="2">
        <v>46583</v>
      </c>
      <c r="AB4" s="1">
        <v>40000</v>
      </c>
      <c r="AC4" s="1">
        <v>0</v>
      </c>
      <c r="AD4" s="1">
        <v>40000</v>
      </c>
      <c r="AE4" s="1">
        <v>0</v>
      </c>
      <c r="AF4" s="1">
        <v>0</v>
      </c>
      <c r="AG4" s="1">
        <v>40966.15</v>
      </c>
      <c r="AH4" s="1">
        <v>0</v>
      </c>
      <c r="AI4" s="1">
        <v>40966.15</v>
      </c>
      <c r="AJ4" s="1"/>
      <c r="AK4">
        <v>0</v>
      </c>
      <c r="AN4" t="s">
        <v>1286</v>
      </c>
      <c r="AO4" t="s">
        <v>1285</v>
      </c>
      <c r="AP4" s="1">
        <v>40000</v>
      </c>
      <c r="AQ4" s="2"/>
      <c r="AS4" s="1">
        <v>83621.69</v>
      </c>
      <c r="AT4" s="3">
        <v>46022</v>
      </c>
      <c r="AU4" s="1"/>
      <c r="AV4" s="1"/>
      <c r="AX4" t="s">
        <v>2</v>
      </c>
      <c r="AY4" s="1">
        <v>41828</v>
      </c>
      <c r="AZ4" s="1">
        <v>40000</v>
      </c>
      <c r="BA4" s="1">
        <v>40000</v>
      </c>
      <c r="BB4" t="s">
        <v>196</v>
      </c>
      <c r="BC4" t="b">
        <f>AZ4=BA4</f>
        <v>1</v>
      </c>
    </row>
    <row r="5" spans="1:55" x14ac:dyDescent="0.35">
      <c r="A5" t="s">
        <v>1284</v>
      </c>
      <c r="B5">
        <v>74935</v>
      </c>
      <c r="C5" t="s">
        <v>1283</v>
      </c>
      <c r="D5" t="s">
        <v>23</v>
      </c>
      <c r="E5" t="s">
        <v>1282</v>
      </c>
      <c r="F5" t="s">
        <v>336</v>
      </c>
      <c r="G5" t="s">
        <v>17</v>
      </c>
      <c r="H5" t="s">
        <v>181</v>
      </c>
      <c r="I5" t="s">
        <v>15</v>
      </c>
      <c r="J5" t="s">
        <v>1281</v>
      </c>
      <c r="K5" t="s">
        <v>179</v>
      </c>
      <c r="L5" t="s">
        <v>1280</v>
      </c>
      <c r="M5" t="s">
        <v>202</v>
      </c>
      <c r="N5" t="s">
        <v>722</v>
      </c>
      <c r="O5" t="s">
        <v>175</v>
      </c>
      <c r="P5" t="s">
        <v>29</v>
      </c>
      <c r="Q5" t="s">
        <v>124</v>
      </c>
      <c r="R5" t="s">
        <v>28</v>
      </c>
      <c r="T5" s="2"/>
      <c r="U5" s="2">
        <v>45901</v>
      </c>
      <c r="V5" s="2">
        <v>45896</v>
      </c>
      <c r="W5" s="1">
        <v>40000</v>
      </c>
      <c r="X5">
        <v>40000</v>
      </c>
      <c r="Y5" t="s">
        <v>147</v>
      </c>
      <c r="Z5" t="s">
        <v>5</v>
      </c>
      <c r="AA5" s="2">
        <v>46461</v>
      </c>
      <c r="AB5" s="1">
        <v>40000</v>
      </c>
      <c r="AC5" s="1">
        <v>0</v>
      </c>
      <c r="AD5" s="1">
        <v>40000</v>
      </c>
      <c r="AE5" s="1">
        <v>0</v>
      </c>
      <c r="AF5" s="1">
        <v>0</v>
      </c>
      <c r="AG5" s="1">
        <v>40966.15</v>
      </c>
      <c r="AH5" s="1">
        <v>0</v>
      </c>
      <c r="AI5" s="1">
        <v>40966.15</v>
      </c>
      <c r="AJ5" s="1"/>
      <c r="AK5">
        <v>0</v>
      </c>
      <c r="AN5" t="s">
        <v>1279</v>
      </c>
      <c r="AO5" t="s">
        <v>1278</v>
      </c>
      <c r="AP5" s="1">
        <v>40000</v>
      </c>
      <c r="AQ5" s="2"/>
      <c r="AS5" s="1">
        <v>16722.38</v>
      </c>
      <c r="AT5" s="3">
        <v>46022</v>
      </c>
      <c r="AU5" s="1"/>
      <c r="AV5" s="1"/>
      <c r="AX5" t="s">
        <v>2</v>
      </c>
      <c r="AY5" s="1">
        <v>8361.19</v>
      </c>
      <c r="AZ5" s="1">
        <v>8361.19</v>
      </c>
      <c r="BA5" s="1">
        <v>40000</v>
      </c>
      <c r="BB5" t="s">
        <v>196</v>
      </c>
      <c r="BC5" t="b">
        <f>AZ5=BA5</f>
        <v>0</v>
      </c>
    </row>
    <row r="6" spans="1:55" x14ac:dyDescent="0.35">
      <c r="A6" t="s">
        <v>1277</v>
      </c>
      <c r="B6">
        <v>74940</v>
      </c>
      <c r="C6" t="s">
        <v>1276</v>
      </c>
      <c r="D6" t="s">
        <v>23</v>
      </c>
      <c r="E6" t="s">
        <v>1275</v>
      </c>
      <c r="F6" t="s">
        <v>18</v>
      </c>
      <c r="G6" t="s">
        <v>17</v>
      </c>
      <c r="H6" t="s">
        <v>16</v>
      </c>
      <c r="I6" t="s">
        <v>15</v>
      </c>
      <c r="J6" t="s">
        <v>1274</v>
      </c>
      <c r="K6" t="s">
        <v>13</v>
      </c>
      <c r="L6" t="s">
        <v>1273</v>
      </c>
      <c r="M6" t="s">
        <v>215</v>
      </c>
      <c r="N6" t="s">
        <v>658</v>
      </c>
      <c r="O6" t="s">
        <v>9</v>
      </c>
      <c r="P6" t="s">
        <v>29</v>
      </c>
      <c r="Q6" t="s">
        <v>124</v>
      </c>
      <c r="R6" t="s">
        <v>213</v>
      </c>
      <c r="T6" s="2"/>
      <c r="U6" s="2">
        <v>45902</v>
      </c>
      <c r="V6" s="2">
        <v>45899</v>
      </c>
      <c r="W6" s="1">
        <v>253761</v>
      </c>
      <c r="X6">
        <v>253761</v>
      </c>
      <c r="Y6" t="s">
        <v>189</v>
      </c>
      <c r="Z6" t="s">
        <v>5</v>
      </c>
      <c r="AA6" s="2">
        <v>46388</v>
      </c>
      <c r="AB6" s="1">
        <v>0.03</v>
      </c>
      <c r="AC6" s="1">
        <v>0</v>
      </c>
      <c r="AD6" s="1">
        <v>0.03</v>
      </c>
      <c r="AE6" s="1">
        <v>253760.97</v>
      </c>
      <c r="AF6" s="1">
        <v>0</v>
      </c>
      <c r="AG6" s="1">
        <v>0.03</v>
      </c>
      <c r="AH6" s="1">
        <v>259501.93</v>
      </c>
      <c r="AI6" s="1">
        <v>259501.96</v>
      </c>
      <c r="AJ6" s="1"/>
      <c r="AK6">
        <v>0</v>
      </c>
      <c r="AN6" t="s">
        <v>1272</v>
      </c>
      <c r="AO6" t="s">
        <v>1271</v>
      </c>
      <c r="AP6" s="1">
        <v>253761</v>
      </c>
      <c r="AQ6" s="2"/>
      <c r="AS6" s="1">
        <v>264762.38</v>
      </c>
      <c r="AT6" s="3">
        <v>46022</v>
      </c>
      <c r="AU6" s="1"/>
      <c r="AV6" s="1"/>
      <c r="AX6" t="s">
        <v>2</v>
      </c>
      <c r="AY6" s="1">
        <v>0.03</v>
      </c>
      <c r="AZ6" s="1">
        <v>0.03</v>
      </c>
      <c r="BA6" s="1">
        <v>0.03</v>
      </c>
      <c r="BB6" t="s">
        <v>23</v>
      </c>
      <c r="BC6" t="b">
        <f>AZ6=BA6</f>
        <v>1</v>
      </c>
    </row>
    <row r="7" spans="1:55" x14ac:dyDescent="0.35">
      <c r="A7" t="s">
        <v>1270</v>
      </c>
      <c r="B7">
        <v>74954</v>
      </c>
      <c r="C7" t="s">
        <v>1269</v>
      </c>
      <c r="D7" t="s">
        <v>23</v>
      </c>
      <c r="E7" t="s">
        <v>1268</v>
      </c>
      <c r="F7" t="s">
        <v>788</v>
      </c>
      <c r="G7" t="s">
        <v>17</v>
      </c>
      <c r="H7" t="s">
        <v>181</v>
      </c>
      <c r="I7" t="s">
        <v>15</v>
      </c>
      <c r="J7" t="s">
        <v>1112</v>
      </c>
      <c r="K7" t="s">
        <v>179</v>
      </c>
      <c r="L7" t="s">
        <v>1267</v>
      </c>
      <c r="M7" t="s">
        <v>150</v>
      </c>
      <c r="N7" t="s">
        <v>1109</v>
      </c>
      <c r="O7" t="s">
        <v>449</v>
      </c>
      <c r="P7" t="s">
        <v>8</v>
      </c>
      <c r="Q7" t="s">
        <v>8</v>
      </c>
      <c r="R7" t="s">
        <v>534</v>
      </c>
      <c r="T7" s="2"/>
      <c r="U7" s="2">
        <v>45904</v>
      </c>
      <c r="V7" s="2">
        <v>45104</v>
      </c>
      <c r="W7" s="1">
        <v>8251.33</v>
      </c>
      <c r="X7"/>
      <c r="Y7" t="s">
        <v>147</v>
      </c>
      <c r="Z7" t="s">
        <v>5</v>
      </c>
      <c r="AA7" s="2">
        <v>46001</v>
      </c>
      <c r="AB7" s="1">
        <v>8251.33</v>
      </c>
      <c r="AC7" s="1">
        <v>8251.33</v>
      </c>
      <c r="AD7" s="1">
        <v>0</v>
      </c>
      <c r="AE7" s="1">
        <v>0</v>
      </c>
      <c r="AF7" s="1">
        <v>8507.9</v>
      </c>
      <c r="AG7" s="1">
        <v>0</v>
      </c>
      <c r="AH7" s="1">
        <v>0</v>
      </c>
      <c r="AI7" s="1">
        <v>8507.9</v>
      </c>
      <c r="AJ7" s="1"/>
      <c r="AK7">
        <v>0</v>
      </c>
      <c r="AN7" t="s">
        <v>1266</v>
      </c>
      <c r="AO7" t="s">
        <v>1265</v>
      </c>
      <c r="AP7" s="1">
        <v>8251.33</v>
      </c>
      <c r="AQ7" s="2"/>
      <c r="AS7" s="1">
        <v>17894.939999999999</v>
      </c>
      <c r="AT7" s="3">
        <v>46022</v>
      </c>
      <c r="AU7" s="1"/>
      <c r="AV7" s="1"/>
      <c r="AX7" t="s">
        <v>2</v>
      </c>
      <c r="AY7" s="1">
        <v>9093.14</v>
      </c>
      <c r="AZ7" s="1">
        <v>8516.26</v>
      </c>
      <c r="BA7" s="1">
        <v>8516.26</v>
      </c>
      <c r="BB7" t="s">
        <v>23</v>
      </c>
      <c r="BC7" t="b">
        <f>AZ7=BA7</f>
        <v>1</v>
      </c>
    </row>
    <row r="8" spans="1:55" x14ac:dyDescent="0.35">
      <c r="A8" t="s">
        <v>1264</v>
      </c>
      <c r="B8">
        <v>74957</v>
      </c>
      <c r="C8" t="s">
        <v>1263</v>
      </c>
      <c r="D8" t="s">
        <v>23</v>
      </c>
      <c r="E8" t="s">
        <v>1262</v>
      </c>
      <c r="F8" t="s">
        <v>1261</v>
      </c>
      <c r="G8" t="s">
        <v>17</v>
      </c>
      <c r="H8" t="s">
        <v>181</v>
      </c>
      <c r="I8" t="s">
        <v>15</v>
      </c>
      <c r="J8" t="s">
        <v>1260</v>
      </c>
      <c r="K8" t="s">
        <v>179</v>
      </c>
      <c r="L8" t="s">
        <v>1259</v>
      </c>
      <c r="M8" t="s">
        <v>150</v>
      </c>
      <c r="N8" t="s">
        <v>1258</v>
      </c>
      <c r="O8" t="s">
        <v>449</v>
      </c>
      <c r="P8" t="s">
        <v>29</v>
      </c>
      <c r="Q8" t="s">
        <v>124</v>
      </c>
      <c r="R8" t="s">
        <v>609</v>
      </c>
      <c r="T8" s="2"/>
      <c r="U8" s="2">
        <v>45908</v>
      </c>
      <c r="V8" s="2">
        <v>45896</v>
      </c>
      <c r="W8" s="1">
        <v>10405.35</v>
      </c>
      <c r="X8">
        <v>10405.35</v>
      </c>
      <c r="Y8" t="s">
        <v>147</v>
      </c>
      <c r="Z8" t="s">
        <v>5</v>
      </c>
      <c r="AA8" s="2">
        <v>46539</v>
      </c>
      <c r="AB8" s="1">
        <v>10405.35</v>
      </c>
      <c r="AC8" s="1">
        <v>0</v>
      </c>
      <c r="AD8" s="1">
        <v>10405.35</v>
      </c>
      <c r="AE8" s="1">
        <v>0</v>
      </c>
      <c r="AF8" s="1">
        <v>0</v>
      </c>
      <c r="AG8" s="1">
        <v>10878.21</v>
      </c>
      <c r="AH8" s="1">
        <v>0</v>
      </c>
      <c r="AI8" s="1">
        <v>10878.21</v>
      </c>
      <c r="AJ8" s="1"/>
      <c r="AK8">
        <v>0</v>
      </c>
      <c r="AN8" t="s">
        <v>1257</v>
      </c>
      <c r="AO8" t="s">
        <v>1256</v>
      </c>
      <c r="AP8" s="1">
        <v>10405.35</v>
      </c>
      <c r="AQ8" s="2"/>
      <c r="AS8" s="1">
        <v>22363.69</v>
      </c>
      <c r="AT8" s="3">
        <v>46022</v>
      </c>
      <c r="AU8" s="1"/>
      <c r="AV8" s="1"/>
      <c r="AX8" t="s">
        <v>2</v>
      </c>
      <c r="AY8" s="1">
        <v>11110.2</v>
      </c>
      <c r="AZ8" s="1">
        <v>10405.35</v>
      </c>
      <c r="BA8" s="1">
        <v>10405.35</v>
      </c>
      <c r="BB8" t="s">
        <v>23</v>
      </c>
      <c r="BC8" t="b">
        <f>AZ8=BA8</f>
        <v>1</v>
      </c>
    </row>
    <row r="9" spans="1:55" x14ac:dyDescent="0.35">
      <c r="A9" t="s">
        <v>1255</v>
      </c>
      <c r="B9">
        <v>74959</v>
      </c>
      <c r="C9" t="s">
        <v>1254</v>
      </c>
      <c r="D9" t="s">
        <v>23</v>
      </c>
      <c r="E9" t="s">
        <v>1253</v>
      </c>
      <c r="F9" t="s">
        <v>336</v>
      </c>
      <c r="G9" t="s">
        <v>17</v>
      </c>
      <c r="H9" t="s">
        <v>181</v>
      </c>
      <c r="I9" t="s">
        <v>15</v>
      </c>
      <c r="J9" t="s">
        <v>724</v>
      </c>
      <c r="K9" t="s">
        <v>179</v>
      </c>
      <c r="L9" t="s">
        <v>1252</v>
      </c>
      <c r="M9" t="s">
        <v>333</v>
      </c>
      <c r="N9" t="s">
        <v>639</v>
      </c>
      <c r="O9" t="s">
        <v>175</v>
      </c>
      <c r="P9" t="s">
        <v>29</v>
      </c>
      <c r="Q9" t="s">
        <v>124</v>
      </c>
      <c r="R9" t="s">
        <v>28</v>
      </c>
      <c r="T9" s="2"/>
      <c r="U9" s="2">
        <v>45910</v>
      </c>
      <c r="V9" s="2">
        <v>45903</v>
      </c>
      <c r="W9" s="1">
        <v>40000</v>
      </c>
      <c r="X9">
        <v>40000</v>
      </c>
      <c r="Y9" t="s">
        <v>147</v>
      </c>
      <c r="Z9" t="s">
        <v>5</v>
      </c>
      <c r="AA9" s="2">
        <v>46366</v>
      </c>
      <c r="AB9" s="1">
        <v>40000</v>
      </c>
      <c r="AC9" s="1">
        <v>0</v>
      </c>
      <c r="AD9" s="1">
        <v>40000</v>
      </c>
      <c r="AE9" s="1">
        <v>0</v>
      </c>
      <c r="AF9" s="1">
        <v>0</v>
      </c>
      <c r="AG9" s="1">
        <v>40971.949999999997</v>
      </c>
      <c r="AH9" s="1">
        <v>0</v>
      </c>
      <c r="AI9" s="1">
        <v>40971.949999999997</v>
      </c>
      <c r="AJ9" s="1"/>
      <c r="AK9">
        <v>0</v>
      </c>
      <c r="AL9" t="s">
        <v>630</v>
      </c>
      <c r="AM9" t="s">
        <v>630</v>
      </c>
      <c r="AN9" t="s">
        <v>1251</v>
      </c>
      <c r="AO9" t="s">
        <v>1250</v>
      </c>
      <c r="AP9" s="1">
        <v>40000</v>
      </c>
      <c r="AQ9" s="2"/>
      <c r="AS9" s="1">
        <v>84589.49</v>
      </c>
      <c r="AT9" s="3">
        <v>46022</v>
      </c>
      <c r="AU9" s="1"/>
      <c r="AV9" s="1"/>
      <c r="AX9" t="s">
        <v>2</v>
      </c>
      <c r="AY9" s="1">
        <v>42788.31</v>
      </c>
      <c r="AZ9" s="1">
        <v>40918.339999999997</v>
      </c>
      <c r="BA9" s="1">
        <v>40918.339999999997</v>
      </c>
      <c r="BB9" t="s">
        <v>23</v>
      </c>
      <c r="BC9" t="b">
        <f>AZ9=BA9</f>
        <v>1</v>
      </c>
    </row>
    <row r="10" spans="1:55" x14ac:dyDescent="0.35">
      <c r="A10" t="s">
        <v>1249</v>
      </c>
      <c r="B10">
        <v>74960</v>
      </c>
      <c r="C10" t="s">
        <v>1248</v>
      </c>
      <c r="D10" t="s">
        <v>457</v>
      </c>
      <c r="E10" t="s">
        <v>1189</v>
      </c>
      <c r="F10" t="s">
        <v>77</v>
      </c>
      <c r="G10" t="s">
        <v>17</v>
      </c>
      <c r="H10" t="s">
        <v>16</v>
      </c>
      <c r="I10" t="s">
        <v>15</v>
      </c>
      <c r="J10" t="s">
        <v>1231</v>
      </c>
      <c r="K10" t="s">
        <v>13</v>
      </c>
      <c r="L10" t="s">
        <v>1247</v>
      </c>
      <c r="M10" t="s">
        <v>1186</v>
      </c>
      <c r="N10" t="s">
        <v>1214</v>
      </c>
      <c r="O10" t="s">
        <v>9</v>
      </c>
      <c r="P10" t="s">
        <v>457</v>
      </c>
      <c r="Q10" t="s">
        <v>124</v>
      </c>
      <c r="R10" t="s">
        <v>456</v>
      </c>
      <c r="T10" s="2"/>
      <c r="U10" s="2">
        <v>45911</v>
      </c>
      <c r="V10" s="2">
        <v>45511</v>
      </c>
      <c r="W10" s="1">
        <v>65569.05</v>
      </c>
      <c r="X10"/>
      <c r="Y10" t="s">
        <v>200</v>
      </c>
      <c r="Z10" t="s">
        <v>5</v>
      </c>
      <c r="AA10" s="2">
        <v>45992</v>
      </c>
      <c r="AB10" s="1">
        <v>65569.05</v>
      </c>
      <c r="AC10" s="1">
        <v>0</v>
      </c>
      <c r="AD10" s="1">
        <v>65569.05</v>
      </c>
      <c r="AE10" s="1">
        <v>0</v>
      </c>
      <c r="AF10" s="1">
        <v>0</v>
      </c>
      <c r="AG10" s="1">
        <v>66986.539999999994</v>
      </c>
      <c r="AH10" s="1">
        <v>0</v>
      </c>
      <c r="AI10" s="1">
        <v>66986.539999999994</v>
      </c>
      <c r="AJ10" s="1"/>
      <c r="AK10">
        <v>0</v>
      </c>
      <c r="AN10" t="s">
        <v>1184</v>
      </c>
      <c r="AO10" t="s">
        <v>1183</v>
      </c>
      <c r="AP10" s="1">
        <v>65569.05</v>
      </c>
      <c r="AQ10" s="2"/>
      <c r="AS10" s="1">
        <v>137505.53</v>
      </c>
      <c r="AT10" s="3">
        <v>46022</v>
      </c>
      <c r="AU10" s="1"/>
      <c r="AV10" s="1"/>
      <c r="AX10" t="s">
        <v>2</v>
      </c>
      <c r="AY10" s="1">
        <v>69159.8</v>
      </c>
      <c r="AZ10" s="1">
        <v>66137.320000000007</v>
      </c>
      <c r="BA10" s="1">
        <v>66137.320000000007</v>
      </c>
      <c r="BB10" t="s">
        <v>23</v>
      </c>
      <c r="BC10" t="b">
        <f>AZ10=BA10</f>
        <v>1</v>
      </c>
    </row>
    <row r="11" spans="1:55" x14ac:dyDescent="0.35">
      <c r="A11" t="s">
        <v>1246</v>
      </c>
      <c r="B11">
        <v>74962</v>
      </c>
      <c r="C11" t="s">
        <v>1245</v>
      </c>
      <c r="D11" t="s">
        <v>457</v>
      </c>
      <c r="E11" t="s">
        <v>1189</v>
      </c>
      <c r="F11" t="s">
        <v>77</v>
      </c>
      <c r="G11" t="s">
        <v>17</v>
      </c>
      <c r="H11" t="s">
        <v>16</v>
      </c>
      <c r="I11" t="s">
        <v>15</v>
      </c>
      <c r="J11" t="s">
        <v>1199</v>
      </c>
      <c r="K11" t="s">
        <v>33</v>
      </c>
      <c r="L11" t="s">
        <v>1244</v>
      </c>
      <c r="M11" t="s">
        <v>1186</v>
      </c>
      <c r="N11" t="s">
        <v>1240</v>
      </c>
      <c r="O11" t="s">
        <v>42</v>
      </c>
      <c r="P11" t="s">
        <v>457</v>
      </c>
      <c r="Q11" t="s">
        <v>124</v>
      </c>
      <c r="R11" t="s">
        <v>456</v>
      </c>
      <c r="T11" s="2"/>
      <c r="U11" s="2">
        <v>45911</v>
      </c>
      <c r="V11" s="2">
        <v>45511</v>
      </c>
      <c r="W11" s="1">
        <v>3899.12</v>
      </c>
      <c r="X11"/>
      <c r="Y11" t="s">
        <v>200</v>
      </c>
      <c r="Z11" t="s">
        <v>5</v>
      </c>
      <c r="AA11" s="2">
        <v>45992</v>
      </c>
      <c r="AB11" s="1">
        <v>3899.12</v>
      </c>
      <c r="AC11" s="1">
        <v>0</v>
      </c>
      <c r="AD11" s="1">
        <v>3899.12</v>
      </c>
      <c r="AE11" s="1">
        <v>0</v>
      </c>
      <c r="AF11" s="1">
        <v>0</v>
      </c>
      <c r="AG11" s="1">
        <v>3962.81</v>
      </c>
      <c r="AH11" s="1">
        <v>0</v>
      </c>
      <c r="AI11" s="1">
        <v>3962.81</v>
      </c>
      <c r="AJ11" s="1"/>
      <c r="AK11">
        <v>0</v>
      </c>
      <c r="AN11" t="s">
        <v>1184</v>
      </c>
      <c r="AO11" t="s">
        <v>1183</v>
      </c>
      <c r="AP11" s="1">
        <v>3899.12</v>
      </c>
      <c r="AQ11" s="2"/>
      <c r="AS11" s="1">
        <v>4041</v>
      </c>
      <c r="AT11" s="3">
        <v>46022</v>
      </c>
      <c r="AU11" s="1"/>
      <c r="AV11" s="1"/>
      <c r="AX11" t="s">
        <v>2</v>
      </c>
      <c r="AY11" s="1">
        <v>0.2</v>
      </c>
      <c r="AZ11" s="1">
        <v>0.2</v>
      </c>
      <c r="BA11" s="1">
        <v>0.2</v>
      </c>
      <c r="BB11" t="s">
        <v>23</v>
      </c>
      <c r="BC11" t="b">
        <f>AZ11=BA11</f>
        <v>1</v>
      </c>
    </row>
    <row r="12" spans="1:55" x14ac:dyDescent="0.35">
      <c r="A12" t="s">
        <v>1243</v>
      </c>
      <c r="B12">
        <v>74963</v>
      </c>
      <c r="C12" t="s">
        <v>1242</v>
      </c>
      <c r="D12" t="s">
        <v>457</v>
      </c>
      <c r="E12" t="s">
        <v>1189</v>
      </c>
      <c r="F12" t="s">
        <v>77</v>
      </c>
      <c r="G12" t="s">
        <v>17</v>
      </c>
      <c r="H12" t="s">
        <v>16</v>
      </c>
      <c r="I12" t="s">
        <v>15</v>
      </c>
      <c r="J12" t="s">
        <v>1199</v>
      </c>
      <c r="K12" t="s">
        <v>33</v>
      </c>
      <c r="L12" t="s">
        <v>1241</v>
      </c>
      <c r="M12" t="s">
        <v>1186</v>
      </c>
      <c r="N12" t="s">
        <v>1240</v>
      </c>
      <c r="O12" t="s">
        <v>42</v>
      </c>
      <c r="P12" t="s">
        <v>457</v>
      </c>
      <c r="Q12" t="s">
        <v>124</v>
      </c>
      <c r="R12" t="s">
        <v>456</v>
      </c>
      <c r="T12" s="2"/>
      <c r="U12" s="2">
        <v>45911</v>
      </c>
      <c r="V12" s="2">
        <v>45511</v>
      </c>
      <c r="W12" s="1">
        <v>3076.17</v>
      </c>
      <c r="X12"/>
      <c r="Y12" t="s">
        <v>200</v>
      </c>
      <c r="Z12" t="s">
        <v>5</v>
      </c>
      <c r="AA12" s="2">
        <v>45992</v>
      </c>
      <c r="AB12" s="1">
        <v>3076.17</v>
      </c>
      <c r="AC12" s="1">
        <v>0</v>
      </c>
      <c r="AD12" s="1">
        <v>3076.17</v>
      </c>
      <c r="AE12" s="1">
        <v>0</v>
      </c>
      <c r="AF12" s="1">
        <v>0</v>
      </c>
      <c r="AG12" s="1">
        <v>3126.41</v>
      </c>
      <c r="AH12" s="1">
        <v>0</v>
      </c>
      <c r="AI12" s="1">
        <v>3126.41</v>
      </c>
      <c r="AJ12" s="1"/>
      <c r="AK12">
        <v>0</v>
      </c>
      <c r="AN12" t="s">
        <v>1184</v>
      </c>
      <c r="AO12" t="s">
        <v>1183</v>
      </c>
      <c r="AP12" s="1">
        <v>3076.17</v>
      </c>
      <c r="AQ12" s="2"/>
      <c r="AS12" s="1">
        <v>3188.15</v>
      </c>
      <c r="AT12" s="3">
        <v>46022</v>
      </c>
      <c r="AU12" s="1"/>
      <c r="AV12" s="1"/>
      <c r="AX12" t="s">
        <v>2</v>
      </c>
      <c r="AY12" s="1">
        <v>0.2</v>
      </c>
      <c r="AZ12" s="1">
        <v>0.2</v>
      </c>
      <c r="BA12" s="1">
        <v>0.2</v>
      </c>
      <c r="BB12" t="s">
        <v>23</v>
      </c>
      <c r="BC12" t="b">
        <f>AZ12=BA12</f>
        <v>1</v>
      </c>
    </row>
    <row r="13" spans="1:55" x14ac:dyDescent="0.35">
      <c r="A13" t="s">
        <v>1239</v>
      </c>
      <c r="B13">
        <v>74964</v>
      </c>
      <c r="C13" t="s">
        <v>1238</v>
      </c>
      <c r="D13" t="s">
        <v>457</v>
      </c>
      <c r="E13" t="s">
        <v>1189</v>
      </c>
      <c r="F13" t="s">
        <v>77</v>
      </c>
      <c r="G13" t="s">
        <v>17</v>
      </c>
      <c r="H13" t="s">
        <v>16</v>
      </c>
      <c r="I13" t="s">
        <v>15</v>
      </c>
      <c r="J13" t="s">
        <v>297</v>
      </c>
      <c r="K13" t="s">
        <v>13</v>
      </c>
      <c r="L13" t="s">
        <v>1237</v>
      </c>
      <c r="M13" t="s">
        <v>1186</v>
      </c>
      <c r="N13" t="s">
        <v>1214</v>
      </c>
      <c r="O13" t="s">
        <v>9</v>
      </c>
      <c r="P13" t="s">
        <v>457</v>
      </c>
      <c r="Q13" t="s">
        <v>124</v>
      </c>
      <c r="R13" t="s">
        <v>456</v>
      </c>
      <c r="T13" s="2"/>
      <c r="U13" s="2">
        <v>45911</v>
      </c>
      <c r="V13" s="2">
        <v>45898</v>
      </c>
      <c r="W13" s="1">
        <v>1324.73</v>
      </c>
      <c r="X13"/>
      <c r="Y13" t="s">
        <v>200</v>
      </c>
      <c r="Z13" t="s">
        <v>5</v>
      </c>
      <c r="AA13" s="2">
        <v>45992</v>
      </c>
      <c r="AB13" s="1">
        <v>1324.73</v>
      </c>
      <c r="AC13" s="1">
        <v>0</v>
      </c>
      <c r="AD13" s="1">
        <v>1324.73</v>
      </c>
      <c r="AE13" s="1">
        <v>0</v>
      </c>
      <c r="AF13" s="1">
        <v>0</v>
      </c>
      <c r="AG13" s="1">
        <v>1353.37</v>
      </c>
      <c r="AH13" s="1">
        <v>0</v>
      </c>
      <c r="AI13" s="1">
        <v>1353.37</v>
      </c>
      <c r="AJ13" s="1"/>
      <c r="AK13">
        <v>0</v>
      </c>
      <c r="AN13" t="s">
        <v>1184</v>
      </c>
      <c r="AO13" t="s">
        <v>1183</v>
      </c>
      <c r="AP13" s="1">
        <v>1324.73</v>
      </c>
      <c r="AQ13" s="2"/>
      <c r="AS13" s="1">
        <v>1381.04</v>
      </c>
      <c r="AT13" s="3">
        <v>46022</v>
      </c>
      <c r="AU13" s="1"/>
      <c r="AV13" s="1"/>
      <c r="AX13" t="s">
        <v>2</v>
      </c>
      <c r="AY13" s="1">
        <v>0.2</v>
      </c>
      <c r="AZ13" s="1">
        <v>0.2</v>
      </c>
      <c r="BA13" s="1">
        <v>0.2</v>
      </c>
      <c r="BB13" t="s">
        <v>23</v>
      </c>
      <c r="BC13" t="b">
        <f>AZ13=BA13</f>
        <v>1</v>
      </c>
    </row>
    <row r="14" spans="1:55" x14ac:dyDescent="0.35">
      <c r="A14" t="s">
        <v>1236</v>
      </c>
      <c r="B14">
        <v>74965</v>
      </c>
      <c r="C14" t="s">
        <v>1235</v>
      </c>
      <c r="D14" t="s">
        <v>457</v>
      </c>
      <c r="E14" t="s">
        <v>1189</v>
      </c>
      <c r="F14" t="s">
        <v>77</v>
      </c>
      <c r="G14" t="s">
        <v>17</v>
      </c>
      <c r="H14" t="s">
        <v>16</v>
      </c>
      <c r="I14" t="s">
        <v>15</v>
      </c>
      <c r="J14" t="s">
        <v>297</v>
      </c>
      <c r="K14" t="s">
        <v>13</v>
      </c>
      <c r="L14" t="s">
        <v>1234</v>
      </c>
      <c r="M14" t="s">
        <v>1186</v>
      </c>
      <c r="N14" t="s">
        <v>1214</v>
      </c>
      <c r="O14" t="s">
        <v>9</v>
      </c>
      <c r="P14" t="s">
        <v>457</v>
      </c>
      <c r="Q14" t="s">
        <v>124</v>
      </c>
      <c r="R14" t="s">
        <v>456</v>
      </c>
      <c r="T14" s="2"/>
      <c r="U14" s="2">
        <v>45911</v>
      </c>
      <c r="V14" s="2">
        <v>45898</v>
      </c>
      <c r="W14" s="1">
        <v>1324.73</v>
      </c>
      <c r="X14"/>
      <c r="Y14" t="s">
        <v>200</v>
      </c>
      <c r="Z14" t="s">
        <v>5</v>
      </c>
      <c r="AA14" s="2">
        <v>45992</v>
      </c>
      <c r="AB14" s="1">
        <v>1324.73</v>
      </c>
      <c r="AC14" s="1">
        <v>0</v>
      </c>
      <c r="AD14" s="1">
        <v>1324.73</v>
      </c>
      <c r="AE14" s="1">
        <v>0</v>
      </c>
      <c r="AF14" s="1">
        <v>0</v>
      </c>
      <c r="AG14" s="1">
        <v>1353.37</v>
      </c>
      <c r="AH14" s="1">
        <v>0</v>
      </c>
      <c r="AI14" s="1">
        <v>1353.37</v>
      </c>
      <c r="AJ14" s="1"/>
      <c r="AK14">
        <v>0</v>
      </c>
      <c r="AN14" t="s">
        <v>1184</v>
      </c>
      <c r="AO14" t="s">
        <v>1183</v>
      </c>
      <c r="AP14" s="1">
        <v>1324.73</v>
      </c>
      <c r="AQ14" s="2"/>
      <c r="AS14" s="1">
        <v>1381.04</v>
      </c>
      <c r="AT14" s="3">
        <v>46022</v>
      </c>
      <c r="AU14" s="1"/>
      <c r="AV14" s="1"/>
      <c r="AX14" t="s">
        <v>2</v>
      </c>
      <c r="AY14" s="1">
        <v>0.2</v>
      </c>
      <c r="AZ14" s="1">
        <v>0.2</v>
      </c>
      <c r="BA14" s="1">
        <v>0.2</v>
      </c>
      <c r="BB14" t="s">
        <v>23</v>
      </c>
      <c r="BC14" t="b">
        <f>AZ14=BA14</f>
        <v>1</v>
      </c>
    </row>
    <row r="15" spans="1:55" x14ac:dyDescent="0.35">
      <c r="A15" t="s">
        <v>1233</v>
      </c>
      <c r="B15">
        <v>74967</v>
      </c>
      <c r="C15" t="s">
        <v>1232</v>
      </c>
      <c r="D15" t="s">
        <v>457</v>
      </c>
      <c r="E15" t="s">
        <v>1189</v>
      </c>
      <c r="F15" t="s">
        <v>77</v>
      </c>
      <c r="G15" t="s">
        <v>17</v>
      </c>
      <c r="H15" t="s">
        <v>16</v>
      </c>
      <c r="I15" t="s">
        <v>15</v>
      </c>
      <c r="J15" t="s">
        <v>1231</v>
      </c>
      <c r="K15" t="s">
        <v>13</v>
      </c>
      <c r="L15" t="s">
        <v>1230</v>
      </c>
      <c r="M15" t="s">
        <v>1186</v>
      </c>
      <c r="N15" t="s">
        <v>1214</v>
      </c>
      <c r="O15" t="s">
        <v>9</v>
      </c>
      <c r="P15" t="s">
        <v>457</v>
      </c>
      <c r="Q15" t="s">
        <v>124</v>
      </c>
      <c r="R15" t="s">
        <v>456</v>
      </c>
      <c r="T15" s="2"/>
      <c r="U15" s="2">
        <v>45911</v>
      </c>
      <c r="V15" s="2">
        <v>45511</v>
      </c>
      <c r="W15" s="1">
        <v>23239.67</v>
      </c>
      <c r="X15"/>
      <c r="Y15" t="s">
        <v>200</v>
      </c>
      <c r="Z15" t="s">
        <v>5</v>
      </c>
      <c r="AA15" s="2">
        <v>45992</v>
      </c>
      <c r="AB15" s="1">
        <v>23239.67</v>
      </c>
      <c r="AC15" s="1">
        <v>0</v>
      </c>
      <c r="AD15" s="1">
        <v>23239.67</v>
      </c>
      <c r="AE15" s="1">
        <v>0</v>
      </c>
      <c r="AF15" s="1">
        <v>0</v>
      </c>
      <c r="AG15" s="1">
        <v>23742.080000000002</v>
      </c>
      <c r="AH15" s="1">
        <v>0</v>
      </c>
      <c r="AI15" s="1">
        <v>23742.080000000002</v>
      </c>
      <c r="AJ15" s="1"/>
      <c r="AK15">
        <v>0</v>
      </c>
      <c r="AN15" t="s">
        <v>1184</v>
      </c>
      <c r="AO15" t="s">
        <v>1183</v>
      </c>
      <c r="AP15" s="1">
        <v>23239.67</v>
      </c>
      <c r="AQ15" s="2"/>
      <c r="AS15" s="1">
        <v>24224.01</v>
      </c>
      <c r="AT15" s="3">
        <v>46022</v>
      </c>
      <c r="AU15" s="1"/>
      <c r="AV15" s="1"/>
      <c r="AX15" t="s">
        <v>2</v>
      </c>
      <c r="AY15" s="1">
        <v>0.2</v>
      </c>
      <c r="AZ15" s="1">
        <v>0.2</v>
      </c>
      <c r="BA15" s="1">
        <v>0.2</v>
      </c>
      <c r="BB15" t="s">
        <v>23</v>
      </c>
      <c r="BC15" t="b">
        <f>AZ15=BA15</f>
        <v>1</v>
      </c>
    </row>
    <row r="16" spans="1:55" x14ac:dyDescent="0.35">
      <c r="A16" t="s">
        <v>1229</v>
      </c>
      <c r="B16">
        <v>74968</v>
      </c>
      <c r="C16" t="s">
        <v>1228</v>
      </c>
      <c r="D16" t="s">
        <v>457</v>
      </c>
      <c r="E16" t="s">
        <v>1189</v>
      </c>
      <c r="F16" t="s">
        <v>77</v>
      </c>
      <c r="G16" t="s">
        <v>17</v>
      </c>
      <c r="H16" t="s">
        <v>16</v>
      </c>
      <c r="I16" t="s">
        <v>15</v>
      </c>
      <c r="J16" t="s">
        <v>297</v>
      </c>
      <c r="K16" t="s">
        <v>13</v>
      </c>
      <c r="L16" t="s">
        <v>1227</v>
      </c>
      <c r="M16" t="s">
        <v>1186</v>
      </c>
      <c r="N16" t="s">
        <v>1214</v>
      </c>
      <c r="O16" t="s">
        <v>9</v>
      </c>
      <c r="P16" t="s">
        <v>457</v>
      </c>
      <c r="Q16" t="s">
        <v>124</v>
      </c>
      <c r="R16" t="s">
        <v>456</v>
      </c>
      <c r="T16" s="2"/>
      <c r="U16" s="2">
        <v>45911</v>
      </c>
      <c r="V16" s="2">
        <v>45511</v>
      </c>
      <c r="W16" s="1">
        <v>1324.73</v>
      </c>
      <c r="X16"/>
      <c r="Y16" t="s">
        <v>200</v>
      </c>
      <c r="Z16" t="s">
        <v>5</v>
      </c>
      <c r="AA16" s="2">
        <v>45992</v>
      </c>
      <c r="AB16" s="1">
        <v>1324.73</v>
      </c>
      <c r="AC16" s="1">
        <v>0</v>
      </c>
      <c r="AD16" s="1">
        <v>1324.73</v>
      </c>
      <c r="AE16" s="1">
        <v>0</v>
      </c>
      <c r="AF16" s="1">
        <v>0</v>
      </c>
      <c r="AG16" s="1">
        <v>1353.37</v>
      </c>
      <c r="AH16" s="1">
        <v>0</v>
      </c>
      <c r="AI16" s="1">
        <v>1353.37</v>
      </c>
      <c r="AJ16" s="1"/>
      <c r="AK16">
        <v>0</v>
      </c>
      <c r="AN16" t="s">
        <v>1184</v>
      </c>
      <c r="AO16" t="s">
        <v>1183</v>
      </c>
      <c r="AP16" s="1">
        <v>1324.73</v>
      </c>
      <c r="AQ16" s="2"/>
      <c r="AS16" s="1">
        <v>1381.04</v>
      </c>
      <c r="AT16" s="3">
        <v>46022</v>
      </c>
      <c r="AU16" s="1"/>
      <c r="AV16" s="1"/>
      <c r="AX16" t="s">
        <v>2</v>
      </c>
      <c r="AY16" s="1">
        <v>0.2</v>
      </c>
      <c r="AZ16" s="1">
        <v>0.2</v>
      </c>
      <c r="BA16" s="1">
        <v>0.2</v>
      </c>
      <c r="BB16" t="s">
        <v>23</v>
      </c>
      <c r="BC16" t="b">
        <f>AZ16=BA16</f>
        <v>1</v>
      </c>
    </row>
    <row r="17" spans="1:55" x14ac:dyDescent="0.35">
      <c r="A17" t="s">
        <v>1226</v>
      </c>
      <c r="B17">
        <v>74969</v>
      </c>
      <c r="C17" t="s">
        <v>1225</v>
      </c>
      <c r="D17" t="s">
        <v>457</v>
      </c>
      <c r="E17" t="s">
        <v>1189</v>
      </c>
      <c r="F17" t="s">
        <v>77</v>
      </c>
      <c r="G17" t="s">
        <v>17</v>
      </c>
      <c r="H17" t="s">
        <v>16</v>
      </c>
      <c r="I17" t="s">
        <v>15</v>
      </c>
      <c r="J17" t="s">
        <v>297</v>
      </c>
      <c r="K17" t="s">
        <v>13</v>
      </c>
      <c r="L17" t="s">
        <v>1224</v>
      </c>
      <c r="M17" t="s">
        <v>1186</v>
      </c>
      <c r="N17" t="s">
        <v>1214</v>
      </c>
      <c r="O17" t="s">
        <v>9</v>
      </c>
      <c r="P17" t="s">
        <v>457</v>
      </c>
      <c r="Q17" t="s">
        <v>124</v>
      </c>
      <c r="R17" t="s">
        <v>456</v>
      </c>
      <c r="T17" s="2"/>
      <c r="U17" s="2">
        <v>45911</v>
      </c>
      <c r="V17" s="2">
        <v>45511</v>
      </c>
      <c r="W17" s="1">
        <v>1324.73</v>
      </c>
      <c r="X17"/>
      <c r="Y17" t="s">
        <v>200</v>
      </c>
      <c r="Z17" t="s">
        <v>5</v>
      </c>
      <c r="AA17" s="2">
        <v>45992</v>
      </c>
      <c r="AB17" s="1">
        <v>1324.73</v>
      </c>
      <c r="AC17" s="1">
        <v>0</v>
      </c>
      <c r="AD17" s="1">
        <v>1324.73</v>
      </c>
      <c r="AE17" s="1">
        <v>0</v>
      </c>
      <c r="AF17" s="1">
        <v>0</v>
      </c>
      <c r="AG17" s="1">
        <v>1353.37</v>
      </c>
      <c r="AH17" s="1">
        <v>0</v>
      </c>
      <c r="AI17" s="1">
        <v>1353.37</v>
      </c>
      <c r="AJ17" s="1"/>
      <c r="AK17">
        <v>0</v>
      </c>
      <c r="AN17" t="s">
        <v>1184</v>
      </c>
      <c r="AO17" t="s">
        <v>1183</v>
      </c>
      <c r="AP17" s="1">
        <v>1324.73</v>
      </c>
      <c r="AQ17" s="2"/>
      <c r="AS17" s="1">
        <v>1381.04</v>
      </c>
      <c r="AT17" s="3">
        <v>46022</v>
      </c>
      <c r="AU17" s="1"/>
      <c r="AV17" s="1"/>
      <c r="AX17" t="s">
        <v>2</v>
      </c>
      <c r="AY17" s="1">
        <v>0.2</v>
      </c>
      <c r="AZ17" s="1">
        <v>0.2</v>
      </c>
      <c r="BA17" s="1">
        <v>0.2</v>
      </c>
      <c r="BB17" t="s">
        <v>23</v>
      </c>
      <c r="BC17" t="b">
        <f>AZ17=BA17</f>
        <v>1</v>
      </c>
    </row>
    <row r="18" spans="1:55" x14ac:dyDescent="0.35">
      <c r="A18" t="s">
        <v>1223</v>
      </c>
      <c r="B18">
        <v>74970</v>
      </c>
      <c r="C18" t="s">
        <v>1222</v>
      </c>
      <c r="D18" t="s">
        <v>457</v>
      </c>
      <c r="E18" t="s">
        <v>1189</v>
      </c>
      <c r="F18" t="s">
        <v>77</v>
      </c>
      <c r="G18" t="s">
        <v>17</v>
      </c>
      <c r="H18" t="s">
        <v>16</v>
      </c>
      <c r="I18" t="s">
        <v>15</v>
      </c>
      <c r="J18" t="s">
        <v>297</v>
      </c>
      <c r="K18" t="s">
        <v>13</v>
      </c>
      <c r="L18" t="s">
        <v>1221</v>
      </c>
      <c r="M18" t="s">
        <v>1186</v>
      </c>
      <c r="N18" t="s">
        <v>1214</v>
      </c>
      <c r="O18" t="s">
        <v>9</v>
      </c>
      <c r="P18" t="s">
        <v>457</v>
      </c>
      <c r="Q18" t="s">
        <v>124</v>
      </c>
      <c r="R18" t="s">
        <v>456</v>
      </c>
      <c r="T18" s="2"/>
      <c r="U18" s="2">
        <v>45911</v>
      </c>
      <c r="V18" s="2">
        <v>45511</v>
      </c>
      <c r="W18" s="1">
        <v>1312.23</v>
      </c>
      <c r="X18"/>
      <c r="Y18" t="s">
        <v>200</v>
      </c>
      <c r="Z18" t="s">
        <v>5</v>
      </c>
      <c r="AA18" s="2">
        <v>45992</v>
      </c>
      <c r="AB18" s="1">
        <v>1312.23</v>
      </c>
      <c r="AC18" s="1">
        <v>0</v>
      </c>
      <c r="AD18" s="1">
        <v>1312.23</v>
      </c>
      <c r="AE18" s="1">
        <v>0</v>
      </c>
      <c r="AF18" s="1">
        <v>0</v>
      </c>
      <c r="AG18" s="1">
        <v>1340.59</v>
      </c>
      <c r="AH18" s="1">
        <v>0</v>
      </c>
      <c r="AI18" s="1">
        <v>1340.59</v>
      </c>
      <c r="AJ18" s="1"/>
      <c r="AK18">
        <v>0</v>
      </c>
      <c r="AN18" t="s">
        <v>1184</v>
      </c>
      <c r="AO18" t="s">
        <v>1183</v>
      </c>
      <c r="AP18" s="1">
        <v>1312.23</v>
      </c>
      <c r="AQ18" s="2"/>
      <c r="AS18" s="1">
        <v>1368.01</v>
      </c>
      <c r="AT18" s="3">
        <v>46022</v>
      </c>
      <c r="AU18" s="1"/>
      <c r="AV18" s="1"/>
      <c r="AX18" t="s">
        <v>2</v>
      </c>
      <c r="AY18" s="1">
        <v>0.2</v>
      </c>
      <c r="AZ18" s="1">
        <v>0.2</v>
      </c>
      <c r="BA18" s="1">
        <v>0.2</v>
      </c>
      <c r="BB18" t="s">
        <v>23</v>
      </c>
      <c r="BC18" t="b">
        <f>AZ18=BA18</f>
        <v>1</v>
      </c>
    </row>
    <row r="19" spans="1:55" x14ac:dyDescent="0.35">
      <c r="A19" t="s">
        <v>1220</v>
      </c>
      <c r="B19">
        <v>74971</v>
      </c>
      <c r="C19" t="s">
        <v>1219</v>
      </c>
      <c r="D19" t="s">
        <v>457</v>
      </c>
      <c r="E19" t="s">
        <v>1189</v>
      </c>
      <c r="F19" t="s">
        <v>77</v>
      </c>
      <c r="G19" t="s">
        <v>17</v>
      </c>
      <c r="H19" t="s">
        <v>16</v>
      </c>
      <c r="I19" t="s">
        <v>15</v>
      </c>
      <c r="J19" t="s">
        <v>1188</v>
      </c>
      <c r="K19" t="s">
        <v>13</v>
      </c>
      <c r="L19" t="s">
        <v>1218</v>
      </c>
      <c r="M19" t="s">
        <v>1186</v>
      </c>
      <c r="N19" t="s">
        <v>1185</v>
      </c>
      <c r="O19" t="s">
        <v>9</v>
      </c>
      <c r="P19" t="s">
        <v>457</v>
      </c>
      <c r="Q19" t="s">
        <v>124</v>
      </c>
      <c r="R19" t="s">
        <v>456</v>
      </c>
      <c r="T19" s="2"/>
      <c r="U19" s="2">
        <v>45911</v>
      </c>
      <c r="V19" s="2">
        <v>45511</v>
      </c>
      <c r="W19" s="1">
        <v>1211.3</v>
      </c>
      <c r="X19"/>
      <c r="Y19" t="s">
        <v>200</v>
      </c>
      <c r="Z19" t="s">
        <v>5</v>
      </c>
      <c r="AA19" s="2">
        <v>45992</v>
      </c>
      <c r="AB19" s="1">
        <v>1211.3</v>
      </c>
      <c r="AC19" s="1">
        <v>0</v>
      </c>
      <c r="AD19" s="1">
        <v>1211.3</v>
      </c>
      <c r="AE19" s="1">
        <v>0</v>
      </c>
      <c r="AF19" s="1">
        <v>0</v>
      </c>
      <c r="AG19" s="1">
        <v>1237.49</v>
      </c>
      <c r="AH19" s="1">
        <v>0</v>
      </c>
      <c r="AI19" s="1">
        <v>1237.49</v>
      </c>
      <c r="AJ19" s="1"/>
      <c r="AK19">
        <v>0</v>
      </c>
      <c r="AN19" t="s">
        <v>1184</v>
      </c>
      <c r="AO19" t="s">
        <v>1183</v>
      </c>
      <c r="AP19" s="1">
        <v>1211.3</v>
      </c>
      <c r="AQ19" s="2"/>
      <c r="AS19" s="1">
        <v>1262.81</v>
      </c>
      <c r="AT19" s="3">
        <v>46022</v>
      </c>
      <c r="AU19" s="1"/>
      <c r="AV19" s="1"/>
      <c r="AX19" t="s">
        <v>2</v>
      </c>
      <c r="AY19" s="1">
        <v>0.2</v>
      </c>
      <c r="AZ19" s="1">
        <v>0.2</v>
      </c>
      <c r="BA19" s="1">
        <v>0.2</v>
      </c>
      <c r="BB19" t="s">
        <v>23</v>
      </c>
      <c r="BC19" t="b">
        <f>AZ19=BA19</f>
        <v>1</v>
      </c>
    </row>
    <row r="20" spans="1:55" x14ac:dyDescent="0.35">
      <c r="A20" t="s">
        <v>1217</v>
      </c>
      <c r="B20">
        <v>74972</v>
      </c>
      <c r="C20" t="s">
        <v>1216</v>
      </c>
      <c r="D20" t="s">
        <v>457</v>
      </c>
      <c r="E20" t="s">
        <v>1189</v>
      </c>
      <c r="F20" t="s">
        <v>77</v>
      </c>
      <c r="G20" t="s">
        <v>17</v>
      </c>
      <c r="H20" t="s">
        <v>16</v>
      </c>
      <c r="I20" t="s">
        <v>15</v>
      </c>
      <c r="J20" t="s">
        <v>297</v>
      </c>
      <c r="K20" t="s">
        <v>13</v>
      </c>
      <c r="L20" t="s">
        <v>1215</v>
      </c>
      <c r="M20" t="s">
        <v>1186</v>
      </c>
      <c r="N20" t="s">
        <v>1214</v>
      </c>
      <c r="O20" t="s">
        <v>9</v>
      </c>
      <c r="P20" t="s">
        <v>457</v>
      </c>
      <c r="Q20" t="s">
        <v>124</v>
      </c>
      <c r="R20" t="s">
        <v>456</v>
      </c>
      <c r="T20" s="2"/>
      <c r="U20" s="2">
        <v>45911</v>
      </c>
      <c r="V20" s="2">
        <v>45511</v>
      </c>
      <c r="W20" s="1">
        <v>1324.73</v>
      </c>
      <c r="X20"/>
      <c r="Y20" t="s">
        <v>200</v>
      </c>
      <c r="Z20" t="s">
        <v>5</v>
      </c>
      <c r="AA20" s="2">
        <v>45992</v>
      </c>
      <c r="AB20" s="1">
        <v>1324.73</v>
      </c>
      <c r="AC20" s="1">
        <v>0</v>
      </c>
      <c r="AD20" s="1">
        <v>1324.73</v>
      </c>
      <c r="AE20" s="1">
        <v>0</v>
      </c>
      <c r="AF20" s="1">
        <v>0</v>
      </c>
      <c r="AG20" s="1">
        <v>1353.37</v>
      </c>
      <c r="AH20" s="1">
        <v>0</v>
      </c>
      <c r="AI20" s="1">
        <v>1353.37</v>
      </c>
      <c r="AJ20" s="1"/>
      <c r="AK20">
        <v>0</v>
      </c>
      <c r="AN20" t="s">
        <v>1184</v>
      </c>
      <c r="AO20" t="s">
        <v>1183</v>
      </c>
      <c r="AP20" s="1">
        <v>1324.73</v>
      </c>
      <c r="AQ20" s="2"/>
      <c r="AS20" s="1">
        <v>1381.04</v>
      </c>
      <c r="AT20" s="3">
        <v>46022</v>
      </c>
      <c r="AU20" s="1"/>
      <c r="AV20" s="1"/>
      <c r="AX20" t="s">
        <v>2</v>
      </c>
      <c r="AY20" s="1">
        <v>0.2</v>
      </c>
      <c r="AZ20" s="1">
        <v>0.2</v>
      </c>
      <c r="BA20" s="1">
        <v>0.2</v>
      </c>
      <c r="BB20" t="s">
        <v>23</v>
      </c>
      <c r="BC20" t="b">
        <f>AZ20=BA20</f>
        <v>1</v>
      </c>
    </row>
    <row r="21" spans="1:55" x14ac:dyDescent="0.35">
      <c r="A21" t="s">
        <v>1213</v>
      </c>
      <c r="B21">
        <v>74973</v>
      </c>
      <c r="C21" t="s">
        <v>1212</v>
      </c>
      <c r="D21" t="s">
        <v>457</v>
      </c>
      <c r="E21" t="s">
        <v>1189</v>
      </c>
      <c r="F21" t="s">
        <v>77</v>
      </c>
      <c r="G21" t="s">
        <v>17</v>
      </c>
      <c r="H21" t="s">
        <v>16</v>
      </c>
      <c r="I21" t="s">
        <v>15</v>
      </c>
      <c r="J21" t="s">
        <v>1188</v>
      </c>
      <c r="K21" t="s">
        <v>13</v>
      </c>
      <c r="L21" t="s">
        <v>1211</v>
      </c>
      <c r="M21" t="s">
        <v>1186</v>
      </c>
      <c r="N21" t="s">
        <v>1185</v>
      </c>
      <c r="O21" t="s">
        <v>9</v>
      </c>
      <c r="P21" t="s">
        <v>457</v>
      </c>
      <c r="Q21" t="s">
        <v>124</v>
      </c>
      <c r="R21" t="s">
        <v>456</v>
      </c>
      <c r="T21" s="2"/>
      <c r="U21" s="2">
        <v>45911</v>
      </c>
      <c r="V21" s="2">
        <v>45511</v>
      </c>
      <c r="W21" s="1">
        <v>1211.3</v>
      </c>
      <c r="X21"/>
      <c r="Y21" t="s">
        <v>200</v>
      </c>
      <c r="Z21" t="s">
        <v>5</v>
      </c>
      <c r="AA21" s="2">
        <v>45992</v>
      </c>
      <c r="AB21" s="1">
        <v>1211.3</v>
      </c>
      <c r="AC21" s="1">
        <v>0</v>
      </c>
      <c r="AD21" s="1">
        <v>1211.3</v>
      </c>
      <c r="AE21" s="1">
        <v>0</v>
      </c>
      <c r="AF21" s="1">
        <v>0</v>
      </c>
      <c r="AG21" s="1">
        <v>1237.49</v>
      </c>
      <c r="AH21" s="1">
        <v>0</v>
      </c>
      <c r="AI21" s="1">
        <v>1237.49</v>
      </c>
      <c r="AJ21" s="1"/>
      <c r="AK21">
        <v>0</v>
      </c>
      <c r="AN21" t="s">
        <v>1184</v>
      </c>
      <c r="AO21" t="s">
        <v>1183</v>
      </c>
      <c r="AP21" s="1">
        <v>1211.3</v>
      </c>
      <c r="AQ21" s="2"/>
      <c r="AS21" s="1">
        <v>1262.81</v>
      </c>
      <c r="AT21" s="3">
        <v>46022</v>
      </c>
      <c r="AU21" s="1"/>
      <c r="AV21" s="1"/>
      <c r="AX21" t="s">
        <v>2</v>
      </c>
      <c r="AY21" s="1">
        <v>0.2</v>
      </c>
      <c r="AZ21" s="1">
        <v>0.2</v>
      </c>
      <c r="BA21" s="1">
        <v>0.2</v>
      </c>
      <c r="BB21" t="s">
        <v>23</v>
      </c>
      <c r="BC21" t="b">
        <f>AZ21=BA21</f>
        <v>1</v>
      </c>
    </row>
    <row r="22" spans="1:55" x14ac:dyDescent="0.35">
      <c r="A22" t="s">
        <v>1210</v>
      </c>
      <c r="B22">
        <v>74974</v>
      </c>
      <c r="C22" t="s">
        <v>1209</v>
      </c>
      <c r="D22" t="s">
        <v>457</v>
      </c>
      <c r="E22" t="s">
        <v>1189</v>
      </c>
      <c r="F22" t="s">
        <v>77</v>
      </c>
      <c r="G22" t="s">
        <v>17</v>
      </c>
      <c r="H22" t="s">
        <v>16</v>
      </c>
      <c r="I22" t="s">
        <v>15</v>
      </c>
      <c r="J22" t="s">
        <v>1188</v>
      </c>
      <c r="K22" t="s">
        <v>13</v>
      </c>
      <c r="L22" t="s">
        <v>1208</v>
      </c>
      <c r="M22" t="s">
        <v>1186</v>
      </c>
      <c r="N22" t="s">
        <v>1185</v>
      </c>
      <c r="O22" t="s">
        <v>9</v>
      </c>
      <c r="P22" t="s">
        <v>457</v>
      </c>
      <c r="Q22" t="s">
        <v>124</v>
      </c>
      <c r="R22" t="s">
        <v>456</v>
      </c>
      <c r="T22" s="2"/>
      <c r="U22" s="2">
        <v>45911</v>
      </c>
      <c r="V22" s="2">
        <v>45511</v>
      </c>
      <c r="W22" s="1">
        <v>1042.6099999999999</v>
      </c>
      <c r="X22"/>
      <c r="Y22" t="s">
        <v>200</v>
      </c>
      <c r="Z22" t="s">
        <v>5</v>
      </c>
      <c r="AA22" s="2">
        <v>45992</v>
      </c>
      <c r="AB22" s="1">
        <v>1042.6099999999999</v>
      </c>
      <c r="AC22" s="1">
        <v>0</v>
      </c>
      <c r="AD22" s="1">
        <v>1042.6099999999999</v>
      </c>
      <c r="AE22" s="1">
        <v>0</v>
      </c>
      <c r="AF22" s="1">
        <v>0</v>
      </c>
      <c r="AG22" s="1">
        <v>1065.1500000000001</v>
      </c>
      <c r="AH22" s="1">
        <v>0</v>
      </c>
      <c r="AI22" s="1">
        <v>1065.1500000000001</v>
      </c>
      <c r="AJ22" s="1"/>
      <c r="AK22">
        <v>0</v>
      </c>
      <c r="AN22" t="s">
        <v>1184</v>
      </c>
      <c r="AO22" t="s">
        <v>1183</v>
      </c>
      <c r="AP22" s="1">
        <v>1042.6099999999999</v>
      </c>
      <c r="AQ22" s="2"/>
      <c r="AS22" s="1">
        <v>1086.97</v>
      </c>
      <c r="AT22" s="3">
        <v>46022</v>
      </c>
      <c r="AU22" s="1"/>
      <c r="AV22" s="1"/>
      <c r="AX22" t="s">
        <v>2</v>
      </c>
      <c r="AY22" s="1">
        <v>0.2</v>
      </c>
      <c r="AZ22" s="1">
        <v>0.2</v>
      </c>
      <c r="BA22" s="1">
        <v>0.2</v>
      </c>
      <c r="BB22" t="s">
        <v>23</v>
      </c>
      <c r="BC22" t="b">
        <f>AZ22=BA22</f>
        <v>1</v>
      </c>
    </row>
    <row r="23" spans="1:55" x14ac:dyDescent="0.35">
      <c r="A23" t="s">
        <v>1207</v>
      </c>
      <c r="B23">
        <v>74975</v>
      </c>
      <c r="C23" t="s">
        <v>1206</v>
      </c>
      <c r="D23" t="s">
        <v>457</v>
      </c>
      <c r="E23" t="s">
        <v>1189</v>
      </c>
      <c r="F23" t="s">
        <v>77</v>
      </c>
      <c r="G23" t="s">
        <v>17</v>
      </c>
      <c r="H23" t="s">
        <v>16</v>
      </c>
      <c r="I23" t="s">
        <v>15</v>
      </c>
      <c r="J23" t="s">
        <v>1188</v>
      </c>
      <c r="K23" t="s">
        <v>13</v>
      </c>
      <c r="L23" t="s">
        <v>1205</v>
      </c>
      <c r="M23" t="s">
        <v>1186</v>
      </c>
      <c r="N23" t="s">
        <v>1185</v>
      </c>
      <c r="O23" t="s">
        <v>9</v>
      </c>
      <c r="P23" t="s">
        <v>457</v>
      </c>
      <c r="Q23" t="s">
        <v>124</v>
      </c>
      <c r="R23" t="s">
        <v>456</v>
      </c>
      <c r="T23" s="2"/>
      <c r="U23" s="2">
        <v>45911</v>
      </c>
      <c r="V23" s="2">
        <v>45511</v>
      </c>
      <c r="W23" s="1">
        <v>1042.6099999999999</v>
      </c>
      <c r="X23"/>
      <c r="Y23" t="s">
        <v>200</v>
      </c>
      <c r="Z23" t="s">
        <v>5</v>
      </c>
      <c r="AA23" s="2">
        <v>45992</v>
      </c>
      <c r="AB23" s="1">
        <v>1042.6099999999999</v>
      </c>
      <c r="AC23" s="1">
        <v>0</v>
      </c>
      <c r="AD23" s="1">
        <v>1042.6099999999999</v>
      </c>
      <c r="AE23" s="1">
        <v>0</v>
      </c>
      <c r="AF23" s="1">
        <v>0</v>
      </c>
      <c r="AG23" s="1">
        <v>1065.1500000000001</v>
      </c>
      <c r="AH23" s="1">
        <v>0</v>
      </c>
      <c r="AI23" s="1">
        <v>1065.1500000000001</v>
      </c>
      <c r="AJ23" s="1"/>
      <c r="AK23">
        <v>0</v>
      </c>
      <c r="AN23" t="s">
        <v>1184</v>
      </c>
      <c r="AO23" t="s">
        <v>1183</v>
      </c>
      <c r="AP23" s="1">
        <v>1042.6099999999999</v>
      </c>
      <c r="AQ23" s="2"/>
      <c r="AS23" s="1">
        <v>1086.97</v>
      </c>
      <c r="AT23" s="3">
        <v>46022</v>
      </c>
      <c r="AU23" s="1"/>
      <c r="AV23" s="1"/>
      <c r="AX23" t="s">
        <v>2</v>
      </c>
      <c r="AY23" s="1">
        <v>0.2</v>
      </c>
      <c r="AZ23" s="1">
        <v>0.2</v>
      </c>
      <c r="BA23" s="1">
        <v>0.2</v>
      </c>
      <c r="BB23" t="s">
        <v>23</v>
      </c>
      <c r="BC23" t="b">
        <f>AZ23=BA23</f>
        <v>1</v>
      </c>
    </row>
    <row r="24" spans="1:55" x14ac:dyDescent="0.35">
      <c r="A24" t="s">
        <v>1204</v>
      </c>
      <c r="B24">
        <v>74976</v>
      </c>
      <c r="C24" t="s">
        <v>1203</v>
      </c>
      <c r="D24" t="s">
        <v>457</v>
      </c>
      <c r="E24" t="s">
        <v>1189</v>
      </c>
      <c r="F24" t="s">
        <v>77</v>
      </c>
      <c r="G24" t="s">
        <v>17</v>
      </c>
      <c r="H24" t="s">
        <v>16</v>
      </c>
      <c r="I24" t="s">
        <v>15</v>
      </c>
      <c r="J24" t="s">
        <v>1188</v>
      </c>
      <c r="K24" t="s">
        <v>13</v>
      </c>
      <c r="L24" t="s">
        <v>1202</v>
      </c>
      <c r="M24" t="s">
        <v>1186</v>
      </c>
      <c r="N24" t="s">
        <v>1185</v>
      </c>
      <c r="O24" t="s">
        <v>9</v>
      </c>
      <c r="P24" t="s">
        <v>457</v>
      </c>
      <c r="Q24" t="s">
        <v>124</v>
      </c>
      <c r="R24" t="s">
        <v>456</v>
      </c>
      <c r="T24" s="2"/>
      <c r="U24" s="2">
        <v>45911</v>
      </c>
      <c r="V24" s="2">
        <v>45511</v>
      </c>
      <c r="W24" s="1">
        <v>1211.3</v>
      </c>
      <c r="X24"/>
      <c r="Y24" t="s">
        <v>200</v>
      </c>
      <c r="Z24" t="s">
        <v>5</v>
      </c>
      <c r="AA24" s="2">
        <v>45992</v>
      </c>
      <c r="AB24" s="1">
        <v>1211.3</v>
      </c>
      <c r="AC24" s="1">
        <v>0</v>
      </c>
      <c r="AD24" s="1">
        <v>1211.3</v>
      </c>
      <c r="AE24" s="1">
        <v>0</v>
      </c>
      <c r="AF24" s="1">
        <v>0</v>
      </c>
      <c r="AG24" s="1">
        <v>1237.49</v>
      </c>
      <c r="AH24" s="1">
        <v>0</v>
      </c>
      <c r="AI24" s="1">
        <v>1237.49</v>
      </c>
      <c r="AJ24" s="1"/>
      <c r="AK24">
        <v>0</v>
      </c>
      <c r="AN24" t="s">
        <v>1184</v>
      </c>
      <c r="AO24" t="s">
        <v>1183</v>
      </c>
      <c r="AP24" s="1">
        <v>1211.3</v>
      </c>
      <c r="AQ24" s="2"/>
      <c r="AS24" s="1">
        <v>1262.81</v>
      </c>
      <c r="AT24" s="3">
        <v>46022</v>
      </c>
      <c r="AU24" s="1"/>
      <c r="AV24" s="1"/>
      <c r="AX24" t="s">
        <v>2</v>
      </c>
      <c r="AY24" s="1">
        <v>0.2</v>
      </c>
      <c r="AZ24" s="1">
        <v>0.2</v>
      </c>
      <c r="BA24" s="1">
        <v>0.2</v>
      </c>
      <c r="BB24" t="s">
        <v>23</v>
      </c>
      <c r="BC24" t="b">
        <f>AZ24=BA24</f>
        <v>1</v>
      </c>
    </row>
    <row r="25" spans="1:55" x14ac:dyDescent="0.35">
      <c r="A25" t="s">
        <v>1201</v>
      </c>
      <c r="B25">
        <v>74977</v>
      </c>
      <c r="C25" t="s">
        <v>1200</v>
      </c>
      <c r="D25" t="s">
        <v>457</v>
      </c>
      <c r="E25" t="s">
        <v>1189</v>
      </c>
      <c r="F25" t="s">
        <v>77</v>
      </c>
      <c r="G25" t="s">
        <v>17</v>
      </c>
      <c r="H25" t="s">
        <v>16</v>
      </c>
      <c r="I25" t="s">
        <v>15</v>
      </c>
      <c r="J25" t="s">
        <v>1199</v>
      </c>
      <c r="K25" t="s">
        <v>33</v>
      </c>
      <c r="L25" t="s">
        <v>1198</v>
      </c>
      <c r="M25" t="s">
        <v>1186</v>
      </c>
      <c r="N25" t="s">
        <v>1185</v>
      </c>
      <c r="O25" t="s">
        <v>9</v>
      </c>
      <c r="P25" t="s">
        <v>457</v>
      </c>
      <c r="Q25" t="s">
        <v>124</v>
      </c>
      <c r="R25" t="s">
        <v>456</v>
      </c>
      <c r="T25" s="2"/>
      <c r="U25" s="2">
        <v>45911</v>
      </c>
      <c r="V25" s="2">
        <v>45511</v>
      </c>
      <c r="W25" s="1">
        <v>3718.89</v>
      </c>
      <c r="X25"/>
      <c r="Y25" t="s">
        <v>200</v>
      </c>
      <c r="Z25" t="s">
        <v>5</v>
      </c>
      <c r="AA25" s="2">
        <v>45992</v>
      </c>
      <c r="AB25" s="1">
        <v>3718.89</v>
      </c>
      <c r="AC25" s="1">
        <v>0</v>
      </c>
      <c r="AD25" s="1">
        <v>3718.89</v>
      </c>
      <c r="AE25" s="1">
        <v>0</v>
      </c>
      <c r="AF25" s="1">
        <v>0</v>
      </c>
      <c r="AG25" s="1">
        <v>3799.29</v>
      </c>
      <c r="AH25" s="1">
        <v>0</v>
      </c>
      <c r="AI25" s="1">
        <v>3799.29</v>
      </c>
      <c r="AJ25" s="1"/>
      <c r="AK25">
        <v>0</v>
      </c>
      <c r="AN25" t="s">
        <v>1184</v>
      </c>
      <c r="AO25" t="s">
        <v>1183</v>
      </c>
      <c r="AP25" s="1">
        <v>3718.89</v>
      </c>
      <c r="AQ25" s="2"/>
      <c r="AS25" s="1">
        <v>3876.58</v>
      </c>
      <c r="AT25" s="3">
        <v>46022</v>
      </c>
      <c r="AU25" s="1"/>
      <c r="AV25" s="1"/>
      <c r="AX25" t="s">
        <v>2</v>
      </c>
      <c r="AY25" s="1">
        <v>0.2</v>
      </c>
      <c r="AZ25" s="1">
        <v>0.2</v>
      </c>
      <c r="BA25" s="1">
        <v>0.2</v>
      </c>
      <c r="BB25" t="s">
        <v>23</v>
      </c>
      <c r="BC25" t="b">
        <f>AZ25=BA25</f>
        <v>1</v>
      </c>
    </row>
    <row r="26" spans="1:55" x14ac:dyDescent="0.35">
      <c r="A26" t="s">
        <v>1197</v>
      </c>
      <c r="B26">
        <v>74979</v>
      </c>
      <c r="C26" t="s">
        <v>1196</v>
      </c>
      <c r="D26" t="s">
        <v>457</v>
      </c>
      <c r="E26" t="s">
        <v>1189</v>
      </c>
      <c r="F26" t="s">
        <v>77</v>
      </c>
      <c r="G26" t="s">
        <v>17</v>
      </c>
      <c r="H26" t="s">
        <v>16</v>
      </c>
      <c r="I26" t="s">
        <v>15</v>
      </c>
      <c r="J26" t="s">
        <v>1188</v>
      </c>
      <c r="K26" t="s">
        <v>13</v>
      </c>
      <c r="L26" t="s">
        <v>1195</v>
      </c>
      <c r="M26" t="s">
        <v>1186</v>
      </c>
      <c r="N26" t="s">
        <v>1185</v>
      </c>
      <c r="O26" t="s">
        <v>9</v>
      </c>
      <c r="P26" t="s">
        <v>457</v>
      </c>
      <c r="Q26" t="s">
        <v>124</v>
      </c>
      <c r="R26" t="s">
        <v>456</v>
      </c>
      <c r="T26" s="2"/>
      <c r="U26" s="2">
        <v>45911</v>
      </c>
      <c r="V26" s="2">
        <v>45511</v>
      </c>
      <c r="W26" s="1">
        <v>1042.6099999999999</v>
      </c>
      <c r="X26"/>
      <c r="Y26" t="s">
        <v>200</v>
      </c>
      <c r="Z26" t="s">
        <v>5</v>
      </c>
      <c r="AA26" s="2">
        <v>45992</v>
      </c>
      <c r="AB26" s="1">
        <v>1042.6099999999999</v>
      </c>
      <c r="AC26" s="1">
        <v>0</v>
      </c>
      <c r="AD26" s="1">
        <v>1042.6099999999999</v>
      </c>
      <c r="AE26" s="1">
        <v>0</v>
      </c>
      <c r="AF26" s="1">
        <v>0</v>
      </c>
      <c r="AG26" s="1">
        <v>1042.6099999999999</v>
      </c>
      <c r="AH26" s="1">
        <v>0</v>
      </c>
      <c r="AI26" s="1">
        <v>1042.6099999999999</v>
      </c>
      <c r="AJ26" s="1"/>
      <c r="AK26">
        <v>0</v>
      </c>
      <c r="AN26" t="s">
        <v>1184</v>
      </c>
      <c r="AO26" t="s">
        <v>1183</v>
      </c>
      <c r="AP26" s="1">
        <v>1042.6099999999999</v>
      </c>
      <c r="AQ26" s="2"/>
      <c r="AS26" s="1">
        <v>1042.81</v>
      </c>
      <c r="AT26" s="3">
        <v>46022</v>
      </c>
      <c r="AU26" s="1"/>
      <c r="AV26" s="1"/>
      <c r="AX26" t="s">
        <v>2</v>
      </c>
      <c r="AY26" s="1">
        <v>0.2</v>
      </c>
      <c r="AZ26" s="1">
        <v>0.2</v>
      </c>
      <c r="BA26" s="1">
        <v>0.2</v>
      </c>
      <c r="BB26" t="s">
        <v>23</v>
      </c>
      <c r="BC26" t="b">
        <f>AZ26=BA26</f>
        <v>1</v>
      </c>
    </row>
    <row r="27" spans="1:55" x14ac:dyDescent="0.35">
      <c r="A27" t="s">
        <v>1194</v>
      </c>
      <c r="B27">
        <v>74980</v>
      </c>
      <c r="C27" t="s">
        <v>1193</v>
      </c>
      <c r="D27" t="s">
        <v>457</v>
      </c>
      <c r="E27" t="s">
        <v>1189</v>
      </c>
      <c r="F27" t="s">
        <v>77</v>
      </c>
      <c r="G27" t="s">
        <v>17</v>
      </c>
      <c r="H27" t="s">
        <v>16</v>
      </c>
      <c r="I27" t="s">
        <v>15</v>
      </c>
      <c r="J27" t="s">
        <v>1188</v>
      </c>
      <c r="K27" t="s">
        <v>13</v>
      </c>
      <c r="L27" t="s">
        <v>1192</v>
      </c>
      <c r="M27" t="s">
        <v>1186</v>
      </c>
      <c r="N27" t="s">
        <v>1185</v>
      </c>
      <c r="O27" t="s">
        <v>9</v>
      </c>
      <c r="P27" t="s">
        <v>457</v>
      </c>
      <c r="Q27" t="s">
        <v>124</v>
      </c>
      <c r="R27" t="s">
        <v>456</v>
      </c>
      <c r="T27" s="2"/>
      <c r="U27" s="2">
        <v>45911</v>
      </c>
      <c r="V27" s="2">
        <v>45511</v>
      </c>
      <c r="W27" s="1">
        <v>1042.6099999999999</v>
      </c>
      <c r="X27"/>
      <c r="Y27" t="s">
        <v>200</v>
      </c>
      <c r="Z27" t="s">
        <v>5</v>
      </c>
      <c r="AA27" s="2">
        <v>45992</v>
      </c>
      <c r="AB27" s="1">
        <v>1042.6099999999999</v>
      </c>
      <c r="AC27" s="1">
        <v>0</v>
      </c>
      <c r="AD27" s="1">
        <v>1042.6099999999999</v>
      </c>
      <c r="AE27" s="1">
        <v>0</v>
      </c>
      <c r="AF27" s="1">
        <v>0</v>
      </c>
      <c r="AG27" s="1">
        <v>1065.1500000000001</v>
      </c>
      <c r="AH27" s="1">
        <v>0</v>
      </c>
      <c r="AI27" s="1">
        <v>1065.1500000000001</v>
      </c>
      <c r="AJ27" s="1"/>
      <c r="AK27">
        <v>0</v>
      </c>
      <c r="AN27" t="s">
        <v>1184</v>
      </c>
      <c r="AO27" t="s">
        <v>1183</v>
      </c>
      <c r="AP27" s="1">
        <v>1042.6099999999999</v>
      </c>
      <c r="AQ27" s="2"/>
      <c r="AS27" s="1">
        <v>1086.97</v>
      </c>
      <c r="AT27" s="3">
        <v>46022</v>
      </c>
      <c r="AU27" s="1"/>
      <c r="AV27" s="1"/>
      <c r="AX27" t="s">
        <v>2</v>
      </c>
      <c r="AY27" s="1">
        <v>0.2</v>
      </c>
      <c r="AZ27" s="1">
        <v>0.2</v>
      </c>
      <c r="BA27" s="1">
        <v>0.2</v>
      </c>
      <c r="BB27" t="s">
        <v>23</v>
      </c>
      <c r="BC27" t="b">
        <f>AZ27=BA27</f>
        <v>1</v>
      </c>
    </row>
    <row r="28" spans="1:55" x14ac:dyDescent="0.35">
      <c r="A28" t="s">
        <v>1191</v>
      </c>
      <c r="B28">
        <v>74981</v>
      </c>
      <c r="C28" t="s">
        <v>1190</v>
      </c>
      <c r="D28" t="s">
        <v>457</v>
      </c>
      <c r="E28" t="s">
        <v>1189</v>
      </c>
      <c r="F28" t="s">
        <v>77</v>
      </c>
      <c r="G28" t="s">
        <v>17</v>
      </c>
      <c r="H28" t="s">
        <v>16</v>
      </c>
      <c r="I28" t="s">
        <v>15</v>
      </c>
      <c r="J28" t="s">
        <v>1188</v>
      </c>
      <c r="K28" t="s">
        <v>33</v>
      </c>
      <c r="L28" t="s">
        <v>1187</v>
      </c>
      <c r="M28" t="s">
        <v>1186</v>
      </c>
      <c r="N28" t="s">
        <v>1185</v>
      </c>
      <c r="O28" t="s">
        <v>9</v>
      </c>
      <c r="P28" t="s">
        <v>457</v>
      </c>
      <c r="Q28" t="s">
        <v>124</v>
      </c>
      <c r="R28" t="s">
        <v>456</v>
      </c>
      <c r="T28" s="2"/>
      <c r="U28" s="2">
        <v>45911</v>
      </c>
      <c r="V28" s="2">
        <v>45511</v>
      </c>
      <c r="W28" s="1">
        <v>1042.6099999999999</v>
      </c>
      <c r="X28"/>
      <c r="Y28" t="s">
        <v>200</v>
      </c>
      <c r="Z28" t="s">
        <v>5</v>
      </c>
      <c r="AA28" s="2">
        <v>45992</v>
      </c>
      <c r="AB28" s="1">
        <v>1042.6099999999999</v>
      </c>
      <c r="AC28" s="1">
        <v>0</v>
      </c>
      <c r="AD28" s="1">
        <v>1042.6099999999999</v>
      </c>
      <c r="AE28" s="1">
        <v>0</v>
      </c>
      <c r="AF28" s="1">
        <v>0</v>
      </c>
      <c r="AG28" s="1">
        <v>1065.1500000000001</v>
      </c>
      <c r="AH28" s="1">
        <v>0</v>
      </c>
      <c r="AI28" s="1">
        <v>1065.1500000000001</v>
      </c>
      <c r="AJ28" s="1"/>
      <c r="AK28">
        <v>0</v>
      </c>
      <c r="AN28" t="s">
        <v>1184</v>
      </c>
      <c r="AO28" t="s">
        <v>1183</v>
      </c>
      <c r="AP28" s="1">
        <v>1042.6099999999999</v>
      </c>
      <c r="AQ28" s="2"/>
      <c r="AS28" s="1">
        <v>1086.97</v>
      </c>
      <c r="AT28" s="3">
        <v>46022</v>
      </c>
      <c r="AU28" s="1"/>
      <c r="AV28" s="1"/>
      <c r="AX28" t="s">
        <v>2</v>
      </c>
      <c r="AY28" s="1">
        <v>0.2</v>
      </c>
      <c r="AZ28" s="1">
        <v>0.2</v>
      </c>
      <c r="BA28" s="1">
        <v>0.2</v>
      </c>
      <c r="BB28" t="s">
        <v>23</v>
      </c>
      <c r="BC28" t="b">
        <f>AZ28=BA28</f>
        <v>1</v>
      </c>
    </row>
    <row r="29" spans="1:55" x14ac:dyDescent="0.35">
      <c r="A29" t="s">
        <v>1182</v>
      </c>
      <c r="B29">
        <v>74985</v>
      </c>
      <c r="C29" t="s">
        <v>1181</v>
      </c>
      <c r="D29" t="s">
        <v>23</v>
      </c>
      <c r="E29" t="s">
        <v>1180</v>
      </c>
      <c r="F29" t="s">
        <v>139</v>
      </c>
      <c r="G29" t="s">
        <v>17</v>
      </c>
      <c r="H29" t="s">
        <v>16</v>
      </c>
      <c r="I29" t="s">
        <v>15</v>
      </c>
      <c r="J29" t="s">
        <v>138</v>
      </c>
      <c r="K29" t="s">
        <v>33</v>
      </c>
      <c r="L29" t="s">
        <v>1140</v>
      </c>
      <c r="M29" t="s">
        <v>136</v>
      </c>
      <c r="N29" t="s">
        <v>303</v>
      </c>
      <c r="O29" t="s">
        <v>42</v>
      </c>
      <c r="P29" t="s">
        <v>29</v>
      </c>
      <c r="Q29" t="s">
        <v>124</v>
      </c>
      <c r="R29" t="s">
        <v>28</v>
      </c>
      <c r="T29" s="2"/>
      <c r="U29" s="2">
        <v>45912</v>
      </c>
      <c r="V29" s="2">
        <v>45908</v>
      </c>
      <c r="W29" s="1">
        <v>20000</v>
      </c>
      <c r="X29">
        <v>20000</v>
      </c>
      <c r="Y29" t="s">
        <v>133</v>
      </c>
      <c r="Z29" t="s">
        <v>5</v>
      </c>
      <c r="AA29" s="2">
        <v>46997</v>
      </c>
      <c r="AB29" s="1">
        <v>20000</v>
      </c>
      <c r="AC29" s="1">
        <v>0</v>
      </c>
      <c r="AD29" s="1">
        <v>20000</v>
      </c>
      <c r="AE29" s="1">
        <v>0</v>
      </c>
      <c r="AF29" s="1">
        <v>0</v>
      </c>
      <c r="AG29" s="1">
        <v>20346.669999999998</v>
      </c>
      <c r="AH29" s="1">
        <v>0</v>
      </c>
      <c r="AI29" s="1">
        <v>20346.669999999998</v>
      </c>
      <c r="AJ29" s="1"/>
      <c r="AK29">
        <v>0</v>
      </c>
      <c r="AL29" t="s">
        <v>132</v>
      </c>
      <c r="AM29" t="s">
        <v>132</v>
      </c>
      <c r="AN29" t="s">
        <v>1179</v>
      </c>
      <c r="AO29" t="s">
        <v>1178</v>
      </c>
      <c r="AP29" s="1">
        <v>20000</v>
      </c>
      <c r="AQ29" s="2"/>
      <c r="AS29" s="1">
        <v>41540</v>
      </c>
      <c r="AT29" s="3">
        <v>46022</v>
      </c>
      <c r="AU29" s="1"/>
      <c r="AV29" s="1"/>
      <c r="AX29" t="s">
        <v>2</v>
      </c>
      <c r="AY29" s="1">
        <v>20793.330000000002</v>
      </c>
      <c r="AZ29" s="1">
        <v>20000</v>
      </c>
      <c r="BA29" s="1">
        <v>20000</v>
      </c>
      <c r="BB29" t="s">
        <v>23</v>
      </c>
      <c r="BC29" t="b">
        <f>AZ29=BA29</f>
        <v>1</v>
      </c>
    </row>
    <row r="30" spans="1:55" x14ac:dyDescent="0.35">
      <c r="A30" t="s">
        <v>1177</v>
      </c>
      <c r="B30">
        <v>74986</v>
      </c>
      <c r="C30" t="s">
        <v>1176</v>
      </c>
      <c r="D30" t="s">
        <v>23</v>
      </c>
      <c r="E30" t="s">
        <v>1175</v>
      </c>
      <c r="F30" t="s">
        <v>139</v>
      </c>
      <c r="G30" t="s">
        <v>17</v>
      </c>
      <c r="H30" t="s">
        <v>16</v>
      </c>
      <c r="I30" t="s">
        <v>15</v>
      </c>
      <c r="J30" t="s">
        <v>138</v>
      </c>
      <c r="K30" t="s">
        <v>33</v>
      </c>
      <c r="L30" t="s">
        <v>1064</v>
      </c>
      <c r="M30" t="s">
        <v>136</v>
      </c>
      <c r="N30" t="s">
        <v>303</v>
      </c>
      <c r="O30" t="s">
        <v>42</v>
      </c>
      <c r="P30" t="s">
        <v>29</v>
      </c>
      <c r="Q30" t="s">
        <v>124</v>
      </c>
      <c r="R30" t="s">
        <v>28</v>
      </c>
      <c r="T30" s="2"/>
      <c r="U30" s="2">
        <v>45912</v>
      </c>
      <c r="V30" s="2">
        <v>45910</v>
      </c>
      <c r="W30" s="1">
        <v>20000</v>
      </c>
      <c r="X30">
        <v>20000</v>
      </c>
      <c r="Y30" t="s">
        <v>133</v>
      </c>
      <c r="Z30" t="s">
        <v>5</v>
      </c>
      <c r="AA30" s="2">
        <v>46997</v>
      </c>
      <c r="AB30" s="1">
        <v>20000</v>
      </c>
      <c r="AC30" s="1">
        <v>0</v>
      </c>
      <c r="AD30" s="1">
        <v>20000</v>
      </c>
      <c r="AE30" s="1">
        <v>0</v>
      </c>
      <c r="AF30" s="1">
        <v>0</v>
      </c>
      <c r="AG30" s="1">
        <v>20333.330000000002</v>
      </c>
      <c r="AH30" s="1">
        <v>0</v>
      </c>
      <c r="AI30" s="1">
        <v>20333.330000000002</v>
      </c>
      <c r="AJ30" s="1"/>
      <c r="AK30">
        <v>0</v>
      </c>
      <c r="AL30" t="s">
        <v>132</v>
      </c>
      <c r="AM30" t="s">
        <v>132</v>
      </c>
      <c r="AN30" t="s">
        <v>1174</v>
      </c>
      <c r="AO30" t="s">
        <v>1173</v>
      </c>
      <c r="AP30" s="1">
        <v>20000</v>
      </c>
      <c r="AQ30" s="2"/>
      <c r="AS30" s="1">
        <v>41526.660000000003</v>
      </c>
      <c r="AT30" s="3">
        <v>46022</v>
      </c>
      <c r="AU30" s="1"/>
      <c r="AV30" s="1"/>
      <c r="AX30" t="s">
        <v>2</v>
      </c>
      <c r="AY30" s="1">
        <v>20793.330000000002</v>
      </c>
      <c r="AZ30" s="1">
        <v>20000</v>
      </c>
      <c r="BA30" s="1">
        <v>20000</v>
      </c>
      <c r="BB30" t="s">
        <v>23</v>
      </c>
      <c r="BC30" t="b">
        <f>AZ30=BA30</f>
        <v>1</v>
      </c>
    </row>
    <row r="31" spans="1:55" x14ac:dyDescent="0.35">
      <c r="A31" t="s">
        <v>1172</v>
      </c>
      <c r="B31">
        <v>74987</v>
      </c>
      <c r="C31" t="s">
        <v>1171</v>
      </c>
      <c r="D31" t="s">
        <v>23</v>
      </c>
      <c r="E31" t="s">
        <v>1170</v>
      </c>
      <c r="F31" t="s">
        <v>139</v>
      </c>
      <c r="G31" t="s">
        <v>17</v>
      </c>
      <c r="H31" t="s">
        <v>16</v>
      </c>
      <c r="I31" t="s">
        <v>15</v>
      </c>
      <c r="J31" t="s">
        <v>138</v>
      </c>
      <c r="K31" t="s">
        <v>33</v>
      </c>
      <c r="L31" t="s">
        <v>1064</v>
      </c>
      <c r="M31" t="s">
        <v>136</v>
      </c>
      <c r="N31" t="s">
        <v>813</v>
      </c>
      <c r="O31" t="s">
        <v>42</v>
      </c>
      <c r="P31" t="s">
        <v>29</v>
      </c>
      <c r="Q31" t="s">
        <v>1169</v>
      </c>
      <c r="R31" t="s">
        <v>28</v>
      </c>
      <c r="T31" s="2"/>
      <c r="U31" s="2">
        <v>45912</v>
      </c>
      <c r="V31" s="2">
        <v>45910</v>
      </c>
      <c r="W31" s="1">
        <v>0.02</v>
      </c>
      <c r="X31"/>
      <c r="Y31" t="s">
        <v>133</v>
      </c>
      <c r="Z31" t="s">
        <v>5</v>
      </c>
      <c r="AA31" s="2">
        <v>46997</v>
      </c>
      <c r="AB31" s="1">
        <v>20000</v>
      </c>
      <c r="AC31" s="1">
        <v>0.02</v>
      </c>
      <c r="AD31" s="1">
        <v>0</v>
      </c>
      <c r="AE31" s="1">
        <v>0</v>
      </c>
      <c r="AF31" s="1">
        <v>0</v>
      </c>
      <c r="AG31" s="1">
        <v>20320</v>
      </c>
      <c r="AH31" s="1">
        <v>0</v>
      </c>
      <c r="AI31" s="1">
        <v>20320</v>
      </c>
      <c r="AJ31" s="1"/>
      <c r="AK31">
        <v>0</v>
      </c>
      <c r="AL31" t="s">
        <v>132</v>
      </c>
      <c r="AM31" t="s">
        <v>132</v>
      </c>
      <c r="AN31" t="s">
        <v>1168</v>
      </c>
      <c r="AO31" t="s">
        <v>1167</v>
      </c>
      <c r="AP31" s="1">
        <v>20000</v>
      </c>
      <c r="AQ31" s="2"/>
      <c r="AS31" s="1">
        <v>20793.349999999999</v>
      </c>
      <c r="AT31" s="3">
        <v>46022</v>
      </c>
      <c r="AU31" s="1"/>
      <c r="AV31" s="1"/>
      <c r="AX31" t="s">
        <v>2</v>
      </c>
      <c r="AY31" s="1">
        <v>20793.330000000002</v>
      </c>
      <c r="AZ31" s="1">
        <v>20000</v>
      </c>
      <c r="BA31" s="1">
        <v>20000</v>
      </c>
      <c r="BB31" t="s">
        <v>23</v>
      </c>
      <c r="BC31" t="b">
        <f>AZ31=BA31</f>
        <v>1</v>
      </c>
    </row>
    <row r="32" spans="1:55" x14ac:dyDescent="0.35">
      <c r="A32" t="s">
        <v>1166</v>
      </c>
      <c r="B32">
        <v>74990</v>
      </c>
      <c r="C32" t="s">
        <v>1165</v>
      </c>
      <c r="D32" t="s">
        <v>23</v>
      </c>
      <c r="E32" t="s">
        <v>1164</v>
      </c>
      <c r="F32" t="s">
        <v>153</v>
      </c>
      <c r="G32" t="s">
        <v>17</v>
      </c>
      <c r="H32" t="s">
        <v>16</v>
      </c>
      <c r="I32" t="s">
        <v>15</v>
      </c>
      <c r="J32" t="s">
        <v>101</v>
      </c>
      <c r="K32" t="s">
        <v>13</v>
      </c>
      <c r="L32" t="s">
        <v>1163</v>
      </c>
      <c r="M32" t="s">
        <v>215</v>
      </c>
      <c r="N32" t="s">
        <v>1162</v>
      </c>
      <c r="O32" t="s">
        <v>9</v>
      </c>
      <c r="P32" t="s">
        <v>29</v>
      </c>
      <c r="Q32" t="s">
        <v>124</v>
      </c>
      <c r="R32" t="s">
        <v>148</v>
      </c>
      <c r="T32" s="2"/>
      <c r="U32" s="2">
        <v>45915</v>
      </c>
      <c r="V32" s="2">
        <v>45911</v>
      </c>
      <c r="W32" s="1">
        <v>10000</v>
      </c>
      <c r="X32">
        <v>10000</v>
      </c>
      <c r="Y32" t="s">
        <v>189</v>
      </c>
      <c r="Z32" t="s">
        <v>5</v>
      </c>
      <c r="AA32" s="2">
        <v>1</v>
      </c>
      <c r="AB32" s="1">
        <v>0.03</v>
      </c>
      <c r="AC32" s="1">
        <v>0</v>
      </c>
      <c r="AD32" s="1">
        <v>10000</v>
      </c>
      <c r="AE32" s="1">
        <v>0</v>
      </c>
      <c r="AF32" s="1">
        <v>0</v>
      </c>
      <c r="AG32" s="1">
        <v>10216.18</v>
      </c>
      <c r="AH32" s="1">
        <v>0</v>
      </c>
      <c r="AI32" s="1">
        <v>10216.18</v>
      </c>
      <c r="AJ32" s="1"/>
      <c r="AK32">
        <v>0</v>
      </c>
      <c r="AN32" t="s">
        <v>1161</v>
      </c>
      <c r="AO32" t="s">
        <v>1160</v>
      </c>
      <c r="AP32" s="1">
        <v>10000</v>
      </c>
      <c r="AQ32" s="2"/>
      <c r="AS32" s="1">
        <v>21078.5</v>
      </c>
      <c r="AT32" s="3">
        <v>46022</v>
      </c>
      <c r="AU32" s="1"/>
      <c r="AV32" s="1"/>
      <c r="AX32" t="s">
        <v>2</v>
      </c>
      <c r="AY32" s="1">
        <v>10655.03</v>
      </c>
      <c r="AZ32" s="1">
        <v>10189.379999999999</v>
      </c>
      <c r="BA32" s="1">
        <v>10189.379999999999</v>
      </c>
      <c r="BB32" t="s">
        <v>23</v>
      </c>
      <c r="BC32" t="b">
        <f>AZ32=BA32</f>
        <v>1</v>
      </c>
    </row>
    <row r="33" spans="1:55" x14ac:dyDescent="0.35">
      <c r="A33" t="s">
        <v>1159</v>
      </c>
      <c r="B33">
        <v>74992</v>
      </c>
      <c r="C33" t="s">
        <v>1158</v>
      </c>
      <c r="D33" t="s">
        <v>23</v>
      </c>
      <c r="E33" t="s">
        <v>412</v>
      </c>
      <c r="F33" t="s">
        <v>77</v>
      </c>
      <c r="G33" t="s">
        <v>17</v>
      </c>
      <c r="H33" t="s">
        <v>16</v>
      </c>
      <c r="I33" t="s">
        <v>15</v>
      </c>
      <c r="J33" t="s">
        <v>412</v>
      </c>
      <c r="K33" t="s">
        <v>33</v>
      </c>
      <c r="L33" t="s">
        <v>1157</v>
      </c>
      <c r="M33" t="s">
        <v>555</v>
      </c>
      <c r="N33" t="s">
        <v>1156</v>
      </c>
      <c r="O33" t="s">
        <v>42</v>
      </c>
      <c r="P33" t="s">
        <v>590</v>
      </c>
      <c r="Q33" t="s">
        <v>124</v>
      </c>
      <c r="R33" t="s">
        <v>1155</v>
      </c>
      <c r="T33" s="2"/>
      <c r="U33" s="2">
        <v>45915</v>
      </c>
      <c r="V33" s="2">
        <v>45901</v>
      </c>
      <c r="W33" s="1">
        <v>1000</v>
      </c>
      <c r="X33">
        <v>1000</v>
      </c>
      <c r="Y33" t="s">
        <v>133</v>
      </c>
      <c r="Z33" t="s">
        <v>5</v>
      </c>
      <c r="AA33" s="2">
        <v>32874</v>
      </c>
      <c r="AB33" s="1">
        <v>0.33</v>
      </c>
      <c r="AC33" s="1">
        <v>0</v>
      </c>
      <c r="AD33" s="1">
        <v>1000</v>
      </c>
      <c r="AE33" s="1">
        <v>0</v>
      </c>
      <c r="AF33" s="1">
        <v>0</v>
      </c>
      <c r="AG33" s="1">
        <v>1019.67</v>
      </c>
      <c r="AH33" s="1">
        <v>0</v>
      </c>
      <c r="AI33" s="1">
        <v>1019.67</v>
      </c>
      <c r="AJ33" s="1"/>
      <c r="AK33">
        <v>0</v>
      </c>
      <c r="AL33" t="s">
        <v>1154</v>
      </c>
      <c r="AM33" t="s">
        <v>1154</v>
      </c>
      <c r="AN33" t="s">
        <v>1153</v>
      </c>
      <c r="AO33" t="s">
        <v>1152</v>
      </c>
      <c r="AP33" s="1">
        <v>1000</v>
      </c>
      <c r="AQ33" s="2"/>
      <c r="AS33" s="1">
        <v>1040.01</v>
      </c>
      <c r="AT33" s="3">
        <v>46022</v>
      </c>
      <c r="AU33" s="1"/>
      <c r="AV33" s="1"/>
      <c r="AX33" t="s">
        <v>2</v>
      </c>
      <c r="AY33" s="4">
        <v>0.34</v>
      </c>
      <c r="AZ33" s="1">
        <v>0.33</v>
      </c>
      <c r="BA33" s="1">
        <v>0.33</v>
      </c>
      <c r="BB33" t="s">
        <v>548</v>
      </c>
      <c r="BC33" t="b">
        <f>AZ33=BA33</f>
        <v>1</v>
      </c>
    </row>
    <row r="34" spans="1:55" x14ac:dyDescent="0.35">
      <c r="A34" t="s">
        <v>1151</v>
      </c>
      <c r="B34">
        <v>74988</v>
      </c>
      <c r="C34" t="s">
        <v>1150</v>
      </c>
      <c r="D34" t="s">
        <v>23</v>
      </c>
      <c r="E34" t="s">
        <v>1149</v>
      </c>
      <c r="F34" t="s">
        <v>1148</v>
      </c>
      <c r="G34" t="s">
        <v>17</v>
      </c>
      <c r="H34" t="s">
        <v>16</v>
      </c>
      <c r="I34" t="s">
        <v>15</v>
      </c>
      <c r="J34" t="s">
        <v>1147</v>
      </c>
      <c r="K34" t="s">
        <v>13</v>
      </c>
      <c r="L34" t="s">
        <v>1146</v>
      </c>
      <c r="M34" t="s">
        <v>215</v>
      </c>
      <c r="N34" t="s">
        <v>285</v>
      </c>
      <c r="O34" t="s">
        <v>9</v>
      </c>
      <c r="P34" t="s">
        <v>29</v>
      </c>
      <c r="Q34" t="s">
        <v>124</v>
      </c>
      <c r="R34" t="s">
        <v>213</v>
      </c>
      <c r="T34" s="2"/>
      <c r="U34" s="2">
        <v>45915</v>
      </c>
      <c r="V34" s="2">
        <v>45904</v>
      </c>
      <c r="W34" s="1">
        <v>111410.16</v>
      </c>
      <c r="X34">
        <v>111410.16</v>
      </c>
      <c r="Y34" t="s">
        <v>6</v>
      </c>
      <c r="Z34" t="s">
        <v>5</v>
      </c>
      <c r="AA34" s="2">
        <v>46660</v>
      </c>
      <c r="AB34" s="1">
        <v>0.03</v>
      </c>
      <c r="AC34" s="1">
        <v>0</v>
      </c>
      <c r="AD34" s="1">
        <v>111410.16</v>
      </c>
      <c r="AE34" s="1">
        <v>0</v>
      </c>
      <c r="AF34" s="1">
        <v>0</v>
      </c>
      <c r="AG34" s="1">
        <v>114079.96</v>
      </c>
      <c r="AH34" s="1">
        <v>0</v>
      </c>
      <c r="AI34" s="1">
        <v>114079.96</v>
      </c>
      <c r="AJ34" s="1"/>
      <c r="AK34">
        <v>0</v>
      </c>
      <c r="AN34" t="s">
        <v>1145</v>
      </c>
      <c r="AO34" t="s">
        <v>1144</v>
      </c>
      <c r="AP34" s="1">
        <v>111410.16</v>
      </c>
      <c r="AQ34" s="2"/>
      <c r="AS34" s="1">
        <v>116389.59</v>
      </c>
      <c r="AT34" s="3">
        <v>46022</v>
      </c>
      <c r="AU34" s="1"/>
      <c r="AV34" s="1"/>
      <c r="AX34" t="s">
        <v>2</v>
      </c>
      <c r="AY34" s="1">
        <v>0.03</v>
      </c>
      <c r="AZ34" s="1">
        <v>0.03</v>
      </c>
      <c r="BA34" s="1">
        <v>0.03</v>
      </c>
      <c r="BB34" t="s">
        <v>23</v>
      </c>
      <c r="BC34" t="b">
        <f>AZ34=BA34</f>
        <v>1</v>
      </c>
    </row>
    <row r="35" spans="1:55" x14ac:dyDescent="0.35">
      <c r="A35" t="s">
        <v>1143</v>
      </c>
      <c r="B35">
        <v>74993</v>
      </c>
      <c r="C35" t="s">
        <v>1142</v>
      </c>
      <c r="D35" t="s">
        <v>23</v>
      </c>
      <c r="E35" t="s">
        <v>1141</v>
      </c>
      <c r="F35" t="s">
        <v>139</v>
      </c>
      <c r="G35" t="s">
        <v>17</v>
      </c>
      <c r="H35" t="s">
        <v>16</v>
      </c>
      <c r="I35" t="s">
        <v>15</v>
      </c>
      <c r="J35" t="s">
        <v>138</v>
      </c>
      <c r="K35" t="s">
        <v>33</v>
      </c>
      <c r="L35" t="s">
        <v>1140</v>
      </c>
      <c r="M35" t="s">
        <v>136</v>
      </c>
      <c r="N35" t="s">
        <v>303</v>
      </c>
      <c r="O35" t="s">
        <v>42</v>
      </c>
      <c r="P35" t="s">
        <v>29</v>
      </c>
      <c r="Q35" t="s">
        <v>124</v>
      </c>
      <c r="R35" t="s">
        <v>28</v>
      </c>
      <c r="T35" s="2"/>
      <c r="U35" s="2">
        <v>45918</v>
      </c>
      <c r="V35" s="2">
        <v>45917</v>
      </c>
      <c r="W35" s="1">
        <v>20000</v>
      </c>
      <c r="X35"/>
      <c r="Y35" t="s">
        <v>133</v>
      </c>
      <c r="Z35" t="s">
        <v>5</v>
      </c>
      <c r="AA35" s="2">
        <v>46997</v>
      </c>
      <c r="AB35" s="1">
        <v>20000</v>
      </c>
      <c r="AC35" s="1">
        <v>0</v>
      </c>
      <c r="AD35" s="1">
        <v>20000</v>
      </c>
      <c r="AE35" s="1">
        <v>0</v>
      </c>
      <c r="AF35" s="1">
        <v>0</v>
      </c>
      <c r="AG35" s="1">
        <v>20280</v>
      </c>
      <c r="AH35" s="1">
        <v>0</v>
      </c>
      <c r="AI35" s="1">
        <v>20280</v>
      </c>
      <c r="AJ35" s="1"/>
      <c r="AK35">
        <v>0</v>
      </c>
      <c r="AL35" t="s">
        <v>132</v>
      </c>
      <c r="AM35" t="s">
        <v>132</v>
      </c>
      <c r="AN35" t="s">
        <v>1139</v>
      </c>
      <c r="AO35" t="s">
        <v>1138</v>
      </c>
      <c r="AP35" s="1">
        <v>20000</v>
      </c>
      <c r="AQ35" s="2"/>
      <c r="AS35" s="1">
        <v>41473.33</v>
      </c>
      <c r="AT35" s="3">
        <v>46022</v>
      </c>
      <c r="AU35" s="1"/>
      <c r="AV35" s="1"/>
      <c r="AX35" t="s">
        <v>2</v>
      </c>
      <c r="AY35" s="1">
        <v>20793.330000000002</v>
      </c>
      <c r="AZ35" s="1">
        <v>20000</v>
      </c>
      <c r="BA35" s="1">
        <v>20000</v>
      </c>
      <c r="BB35" t="s">
        <v>23</v>
      </c>
      <c r="BC35" t="b">
        <f>AZ35=BA35</f>
        <v>1</v>
      </c>
    </row>
    <row r="36" spans="1:55" x14ac:dyDescent="0.35">
      <c r="A36" t="s">
        <v>1137</v>
      </c>
      <c r="B36">
        <v>74994</v>
      </c>
      <c r="C36" t="s">
        <v>1136</v>
      </c>
      <c r="D36" t="s">
        <v>20</v>
      </c>
      <c r="E36" t="s">
        <v>96</v>
      </c>
      <c r="F36" t="s">
        <v>18</v>
      </c>
      <c r="G36" t="s">
        <v>17</v>
      </c>
      <c r="H36" t="s">
        <v>16</v>
      </c>
      <c r="I36" t="s">
        <v>15</v>
      </c>
      <c r="J36" t="s">
        <v>1135</v>
      </c>
      <c r="K36" t="s">
        <v>13</v>
      </c>
      <c r="L36" t="s">
        <v>1134</v>
      </c>
      <c r="M36" t="s">
        <v>11</v>
      </c>
      <c r="N36" t="s">
        <v>94</v>
      </c>
      <c r="O36" t="s">
        <v>9</v>
      </c>
      <c r="P36" t="s">
        <v>8</v>
      </c>
      <c r="Q36" t="s">
        <v>8</v>
      </c>
      <c r="R36" t="s">
        <v>7</v>
      </c>
      <c r="T36" s="2"/>
      <c r="U36" s="2">
        <v>45919</v>
      </c>
      <c r="V36" s="2">
        <v>45916</v>
      </c>
      <c r="W36" s="1">
        <v>22138</v>
      </c>
      <c r="X36">
        <v>22138</v>
      </c>
      <c r="Y36" t="s">
        <v>200</v>
      </c>
      <c r="Z36" t="s">
        <v>5</v>
      </c>
      <c r="AA36" s="2">
        <v>46631</v>
      </c>
      <c r="AB36" s="1">
        <v>22138</v>
      </c>
      <c r="AC36" s="1">
        <v>22138</v>
      </c>
      <c r="AD36" s="1">
        <v>0</v>
      </c>
      <c r="AE36" s="1">
        <v>0</v>
      </c>
      <c r="AF36" s="1">
        <v>22579.5</v>
      </c>
      <c r="AG36" s="1">
        <v>0</v>
      </c>
      <c r="AH36" s="1">
        <v>0</v>
      </c>
      <c r="AI36" s="1">
        <v>22579.5</v>
      </c>
      <c r="AJ36" s="1"/>
      <c r="AK36">
        <v>0</v>
      </c>
      <c r="AN36" t="s">
        <v>91</v>
      </c>
      <c r="AO36" t="s">
        <v>90</v>
      </c>
      <c r="AP36" s="1">
        <v>22138</v>
      </c>
      <c r="AQ36" s="2"/>
      <c r="AS36" s="1">
        <v>46188.08</v>
      </c>
      <c r="AT36" s="3">
        <v>46022</v>
      </c>
      <c r="AU36" s="1"/>
      <c r="AV36" s="1"/>
      <c r="AX36" t="s">
        <v>2</v>
      </c>
      <c r="AY36" s="1">
        <v>23149.71</v>
      </c>
      <c r="AZ36" s="1">
        <v>22138</v>
      </c>
      <c r="BA36" s="1">
        <v>22138</v>
      </c>
      <c r="BB36" t="s">
        <v>1</v>
      </c>
      <c r="BC36" t="b">
        <f>AZ36=BA36</f>
        <v>1</v>
      </c>
    </row>
    <row r="37" spans="1:55" x14ac:dyDescent="0.35">
      <c r="A37" t="s">
        <v>1133</v>
      </c>
      <c r="B37">
        <v>74995</v>
      </c>
      <c r="C37" t="s">
        <v>1132</v>
      </c>
      <c r="D37" t="s">
        <v>20</v>
      </c>
      <c r="E37" t="s">
        <v>96</v>
      </c>
      <c r="F37" t="s">
        <v>18</v>
      </c>
      <c r="G37" t="s">
        <v>17</v>
      </c>
      <c r="H37" t="s">
        <v>16</v>
      </c>
      <c r="I37" t="s">
        <v>15</v>
      </c>
      <c r="J37" t="s">
        <v>1131</v>
      </c>
      <c r="K37" t="s">
        <v>13</v>
      </c>
      <c r="L37" t="s">
        <v>1130</v>
      </c>
      <c r="M37" t="s">
        <v>11</v>
      </c>
      <c r="N37" t="s">
        <v>94</v>
      </c>
      <c r="O37" t="s">
        <v>9</v>
      </c>
      <c r="P37" t="s">
        <v>8</v>
      </c>
      <c r="Q37" t="s">
        <v>8</v>
      </c>
      <c r="R37" t="s">
        <v>7</v>
      </c>
      <c r="T37" s="2"/>
      <c r="U37" s="2">
        <v>45919</v>
      </c>
      <c r="V37" s="2">
        <v>45916</v>
      </c>
      <c r="W37" s="1">
        <v>19558</v>
      </c>
      <c r="X37">
        <v>19558</v>
      </c>
      <c r="Y37" t="s">
        <v>200</v>
      </c>
      <c r="Z37" t="s">
        <v>5</v>
      </c>
      <c r="AA37" s="2">
        <v>46661</v>
      </c>
      <c r="AB37" s="1">
        <v>19558</v>
      </c>
      <c r="AC37" s="1">
        <v>19558</v>
      </c>
      <c r="AD37" s="1">
        <v>0</v>
      </c>
      <c r="AE37" s="1">
        <v>0</v>
      </c>
      <c r="AF37" s="1">
        <v>19948.04</v>
      </c>
      <c r="AG37" s="1">
        <v>0</v>
      </c>
      <c r="AH37" s="1">
        <v>0</v>
      </c>
      <c r="AI37" s="1">
        <v>19948.04</v>
      </c>
      <c r="AJ37" s="1"/>
      <c r="AK37">
        <v>0</v>
      </c>
      <c r="AN37" t="s">
        <v>91</v>
      </c>
      <c r="AO37" t="s">
        <v>90</v>
      </c>
      <c r="AP37" s="1">
        <v>19558</v>
      </c>
      <c r="AQ37" s="2"/>
      <c r="AS37" s="1">
        <v>40805.25</v>
      </c>
      <c r="AT37" s="3">
        <v>46022</v>
      </c>
      <c r="AU37" s="1"/>
      <c r="AV37" s="1"/>
      <c r="AX37" t="s">
        <v>2</v>
      </c>
      <c r="AY37" s="1">
        <v>20451.8</v>
      </c>
      <c r="AZ37" s="1">
        <v>19558</v>
      </c>
      <c r="BA37" s="1">
        <v>19558</v>
      </c>
      <c r="BB37" t="s">
        <v>1</v>
      </c>
      <c r="BC37" t="b">
        <f>AZ37=BA37</f>
        <v>1</v>
      </c>
    </row>
    <row r="38" spans="1:55" x14ac:dyDescent="0.35">
      <c r="A38" t="s">
        <v>1129</v>
      </c>
      <c r="B38">
        <v>74996</v>
      </c>
      <c r="C38" t="s">
        <v>1128</v>
      </c>
      <c r="D38" t="s">
        <v>20</v>
      </c>
      <c r="E38" t="s">
        <v>96</v>
      </c>
      <c r="F38" t="s">
        <v>18</v>
      </c>
      <c r="G38" t="s">
        <v>17</v>
      </c>
      <c r="H38" t="s">
        <v>16</v>
      </c>
      <c r="I38" t="s">
        <v>15</v>
      </c>
      <c r="J38" t="s">
        <v>1127</v>
      </c>
      <c r="K38" t="s">
        <v>13</v>
      </c>
      <c r="L38" t="s">
        <v>1126</v>
      </c>
      <c r="M38" t="s">
        <v>11</v>
      </c>
      <c r="N38" t="s">
        <v>94</v>
      </c>
      <c r="O38" t="s">
        <v>9</v>
      </c>
      <c r="P38" t="s">
        <v>8</v>
      </c>
      <c r="Q38" t="s">
        <v>8</v>
      </c>
      <c r="R38" t="s">
        <v>7</v>
      </c>
      <c r="T38" s="2"/>
      <c r="U38" s="2">
        <v>45919</v>
      </c>
      <c r="V38" s="2">
        <v>45916</v>
      </c>
      <c r="W38" s="1">
        <v>17711</v>
      </c>
      <c r="X38">
        <v>17711</v>
      </c>
      <c r="Y38" t="s">
        <v>200</v>
      </c>
      <c r="Z38" t="s">
        <v>5</v>
      </c>
      <c r="AA38" s="2">
        <v>46692</v>
      </c>
      <c r="AB38" s="1">
        <v>17711</v>
      </c>
      <c r="AC38" s="1">
        <v>17711</v>
      </c>
      <c r="AD38" s="1">
        <v>0</v>
      </c>
      <c r="AE38" s="1">
        <v>0</v>
      </c>
      <c r="AF38" s="1">
        <v>18064.21</v>
      </c>
      <c r="AG38" s="1">
        <v>0</v>
      </c>
      <c r="AH38" s="1">
        <v>0</v>
      </c>
      <c r="AI38" s="1">
        <v>18064.21</v>
      </c>
      <c r="AJ38" s="1"/>
      <c r="AK38">
        <v>0</v>
      </c>
      <c r="AN38" t="s">
        <v>91</v>
      </c>
      <c r="AO38" t="s">
        <v>90</v>
      </c>
      <c r="AP38" s="1">
        <v>17711</v>
      </c>
      <c r="AQ38" s="2"/>
      <c r="AS38" s="1">
        <v>36951.71</v>
      </c>
      <c r="AT38" s="3">
        <v>46022</v>
      </c>
      <c r="AU38" s="1"/>
      <c r="AV38" s="1"/>
      <c r="AX38" t="s">
        <v>2</v>
      </c>
      <c r="AY38" s="1">
        <v>18520.39</v>
      </c>
      <c r="AZ38" s="1">
        <v>17711</v>
      </c>
      <c r="BA38" s="1">
        <v>17711</v>
      </c>
      <c r="BB38" t="s">
        <v>1</v>
      </c>
      <c r="BC38" t="b">
        <f>AZ38=BA38</f>
        <v>1</v>
      </c>
    </row>
    <row r="39" spans="1:55" x14ac:dyDescent="0.35">
      <c r="A39" t="s">
        <v>1125</v>
      </c>
      <c r="B39">
        <v>74997</v>
      </c>
      <c r="C39" t="s">
        <v>1124</v>
      </c>
      <c r="D39" t="s">
        <v>20</v>
      </c>
      <c r="E39" t="s">
        <v>96</v>
      </c>
      <c r="F39" t="s">
        <v>77</v>
      </c>
      <c r="G39" t="s">
        <v>17</v>
      </c>
      <c r="H39" t="s">
        <v>16</v>
      </c>
      <c r="I39" t="s">
        <v>15</v>
      </c>
      <c r="J39" t="s">
        <v>1123</v>
      </c>
      <c r="K39" t="s">
        <v>13</v>
      </c>
      <c r="L39" t="s">
        <v>1122</v>
      </c>
      <c r="M39" t="s">
        <v>11</v>
      </c>
      <c r="N39" t="s">
        <v>94</v>
      </c>
      <c r="O39" t="s">
        <v>9</v>
      </c>
      <c r="P39" t="s">
        <v>8</v>
      </c>
      <c r="Q39" t="s">
        <v>8</v>
      </c>
      <c r="R39" t="s">
        <v>7</v>
      </c>
      <c r="T39" s="2"/>
      <c r="U39" s="2">
        <v>45919</v>
      </c>
      <c r="V39" s="2">
        <v>45915</v>
      </c>
      <c r="W39" s="1">
        <v>17145</v>
      </c>
      <c r="X39">
        <v>17145</v>
      </c>
      <c r="Y39" t="s">
        <v>200</v>
      </c>
      <c r="Z39" t="s">
        <v>5</v>
      </c>
      <c r="AA39" s="2">
        <v>46661</v>
      </c>
      <c r="AB39" s="1">
        <v>17145</v>
      </c>
      <c r="AC39" s="1">
        <v>17145</v>
      </c>
      <c r="AD39" s="1">
        <v>0</v>
      </c>
      <c r="AE39" s="1">
        <v>0</v>
      </c>
      <c r="AF39" s="1">
        <v>17492.66</v>
      </c>
      <c r="AG39" s="1">
        <v>0</v>
      </c>
      <c r="AH39" s="1">
        <v>0</v>
      </c>
      <c r="AI39" s="1">
        <v>17492.66</v>
      </c>
      <c r="AJ39" s="1"/>
      <c r="AK39">
        <v>0</v>
      </c>
      <c r="AN39" t="s">
        <v>91</v>
      </c>
      <c r="AO39" t="s">
        <v>90</v>
      </c>
      <c r="AP39" s="1">
        <v>17145</v>
      </c>
      <c r="AQ39" s="2"/>
      <c r="AS39" s="1">
        <v>35776.589999999997</v>
      </c>
      <c r="AT39" s="3">
        <v>46022</v>
      </c>
      <c r="AU39" s="1"/>
      <c r="AV39" s="1"/>
      <c r="AX39" t="s">
        <v>2</v>
      </c>
      <c r="AY39" s="1">
        <v>17928.53</v>
      </c>
      <c r="AZ39" s="1">
        <v>17145</v>
      </c>
      <c r="BA39" s="1">
        <v>17145</v>
      </c>
      <c r="BB39" t="s">
        <v>1</v>
      </c>
      <c r="BC39" t="b">
        <f>AZ39=BA39</f>
        <v>1</v>
      </c>
    </row>
    <row r="40" spans="1:55" x14ac:dyDescent="0.35">
      <c r="A40" t="s">
        <v>1121</v>
      </c>
      <c r="B40">
        <v>74999</v>
      </c>
      <c r="C40" t="s">
        <v>1120</v>
      </c>
      <c r="D40" t="s">
        <v>23</v>
      </c>
      <c r="E40" t="s">
        <v>1119</v>
      </c>
      <c r="F40" t="s">
        <v>18</v>
      </c>
      <c r="G40" t="s">
        <v>17</v>
      </c>
      <c r="H40" t="s">
        <v>558</v>
      </c>
      <c r="I40" t="s">
        <v>15</v>
      </c>
      <c r="J40" t="s">
        <v>1118</v>
      </c>
      <c r="K40" t="s">
        <v>13</v>
      </c>
      <c r="L40" t="s">
        <v>1117</v>
      </c>
      <c r="M40" t="s">
        <v>555</v>
      </c>
      <c r="N40" t="s">
        <v>1116</v>
      </c>
      <c r="O40" t="s">
        <v>9</v>
      </c>
      <c r="P40" t="s">
        <v>590</v>
      </c>
      <c r="Q40" t="s">
        <v>124</v>
      </c>
      <c r="R40" t="s">
        <v>589</v>
      </c>
      <c r="T40" s="2"/>
      <c r="U40" s="2">
        <v>45921</v>
      </c>
      <c r="V40" s="2">
        <v>45794</v>
      </c>
      <c r="W40" s="1">
        <v>1000</v>
      </c>
      <c r="X40"/>
      <c r="Y40" t="s">
        <v>133</v>
      </c>
      <c r="Z40" t="s">
        <v>5</v>
      </c>
      <c r="AA40" s="2">
        <v>32874</v>
      </c>
      <c r="AB40" s="1">
        <v>0.03</v>
      </c>
      <c r="AC40" s="1">
        <v>0</v>
      </c>
      <c r="AD40" s="1">
        <v>1000</v>
      </c>
      <c r="AE40" s="1">
        <v>0</v>
      </c>
      <c r="AF40" s="1">
        <v>0</v>
      </c>
      <c r="AG40" s="1">
        <v>1018.6</v>
      </c>
      <c r="AH40" s="1">
        <v>0</v>
      </c>
      <c r="AI40" s="1">
        <v>1018.6</v>
      </c>
      <c r="AJ40" s="1"/>
      <c r="AK40">
        <v>0</v>
      </c>
      <c r="AP40" s="1">
        <v>1000</v>
      </c>
      <c r="AQ40" s="2"/>
      <c r="AS40" s="1">
        <v>1028.96</v>
      </c>
      <c r="AT40" s="3">
        <v>45991</v>
      </c>
      <c r="AU40" s="1"/>
      <c r="AV40" s="1"/>
      <c r="AX40" t="s">
        <v>2</v>
      </c>
      <c r="AY40" s="4">
        <v>0.12</v>
      </c>
      <c r="AZ40" s="1">
        <v>0.12</v>
      </c>
      <c r="BA40" s="1">
        <v>0.12</v>
      </c>
      <c r="BB40" t="s">
        <v>548</v>
      </c>
      <c r="BC40" t="b">
        <f>AZ40=BA40</f>
        <v>1</v>
      </c>
    </row>
    <row r="41" spans="1:55" x14ac:dyDescent="0.35">
      <c r="A41" t="s">
        <v>1115</v>
      </c>
      <c r="B41">
        <v>75004</v>
      </c>
      <c r="C41" t="s">
        <v>1114</v>
      </c>
      <c r="D41" t="s">
        <v>23</v>
      </c>
      <c r="E41" t="s">
        <v>1113</v>
      </c>
      <c r="F41" t="s">
        <v>624</v>
      </c>
      <c r="G41" t="s">
        <v>17</v>
      </c>
      <c r="H41" t="s">
        <v>181</v>
      </c>
      <c r="I41" t="s">
        <v>15</v>
      </c>
      <c r="J41" t="s">
        <v>1112</v>
      </c>
      <c r="K41" t="s">
        <v>179</v>
      </c>
      <c r="L41" t="s">
        <v>1111</v>
      </c>
      <c r="M41" t="s">
        <v>1110</v>
      </c>
      <c r="N41" t="s">
        <v>1109</v>
      </c>
      <c r="O41" t="s">
        <v>449</v>
      </c>
      <c r="P41" t="s">
        <v>8</v>
      </c>
      <c r="Q41" t="s">
        <v>8</v>
      </c>
      <c r="R41" t="s">
        <v>28</v>
      </c>
      <c r="T41" s="2"/>
      <c r="U41" s="2">
        <v>45923</v>
      </c>
      <c r="V41" s="2">
        <v>43632</v>
      </c>
      <c r="W41" s="1">
        <v>10000</v>
      </c>
      <c r="X41"/>
      <c r="Y41" t="s">
        <v>147</v>
      </c>
      <c r="Z41" t="s">
        <v>5</v>
      </c>
      <c r="AA41" s="2">
        <v>46054</v>
      </c>
      <c r="AB41" s="1"/>
      <c r="AC41" s="1">
        <v>10000</v>
      </c>
      <c r="AD41" s="1">
        <v>0</v>
      </c>
      <c r="AE41" s="1">
        <v>0</v>
      </c>
      <c r="AF41" s="1">
        <v>10246.84</v>
      </c>
      <c r="AG41" s="1">
        <v>0</v>
      </c>
      <c r="AH41" s="1">
        <v>0</v>
      </c>
      <c r="AI41" s="1">
        <v>10246.84</v>
      </c>
      <c r="AJ41" s="1"/>
      <c r="AK41">
        <v>0</v>
      </c>
      <c r="AN41" t="s">
        <v>1108</v>
      </c>
      <c r="AO41" t="s">
        <v>1107</v>
      </c>
      <c r="AP41" s="1">
        <v>10000</v>
      </c>
      <c r="AQ41" s="2"/>
      <c r="AS41" s="1">
        <v>64423</v>
      </c>
      <c r="AT41" s="3">
        <v>46022</v>
      </c>
      <c r="AU41" s="1"/>
      <c r="AV41" s="1"/>
      <c r="AX41" t="s">
        <v>2</v>
      </c>
      <c r="AY41" s="1">
        <v>53820.93</v>
      </c>
      <c r="AZ41" s="1">
        <v>50406.44</v>
      </c>
      <c r="BA41" s="1">
        <v>50406.44</v>
      </c>
      <c r="BB41" t="s">
        <v>23</v>
      </c>
      <c r="BC41" t="b">
        <f>AZ41=BA41</f>
        <v>1</v>
      </c>
    </row>
    <row r="42" spans="1:55" x14ac:dyDescent="0.35">
      <c r="A42" t="s">
        <v>1106</v>
      </c>
      <c r="B42">
        <v>75005</v>
      </c>
      <c r="C42" t="s">
        <v>1105</v>
      </c>
      <c r="D42" t="s">
        <v>20</v>
      </c>
      <c r="E42" t="s">
        <v>1059</v>
      </c>
      <c r="F42" t="s">
        <v>18</v>
      </c>
      <c r="G42" t="s">
        <v>17</v>
      </c>
      <c r="H42" t="s">
        <v>16</v>
      </c>
      <c r="I42" t="s">
        <v>15</v>
      </c>
      <c r="J42" t="s">
        <v>492</v>
      </c>
      <c r="K42" t="s">
        <v>179</v>
      </c>
      <c r="L42" t="s">
        <v>1104</v>
      </c>
      <c r="M42" t="s">
        <v>11</v>
      </c>
      <c r="N42" t="s">
        <v>905</v>
      </c>
      <c r="O42" t="s">
        <v>489</v>
      </c>
      <c r="P42" t="s">
        <v>8</v>
      </c>
      <c r="Q42" t="s">
        <v>8</v>
      </c>
      <c r="R42" t="s">
        <v>7</v>
      </c>
      <c r="T42" s="2"/>
      <c r="U42" s="2">
        <v>45923</v>
      </c>
      <c r="V42" s="2">
        <v>45910</v>
      </c>
      <c r="W42" s="1">
        <v>7960.62</v>
      </c>
      <c r="X42">
        <v>0</v>
      </c>
      <c r="Y42" t="s">
        <v>200</v>
      </c>
      <c r="Z42" t="s">
        <v>5</v>
      </c>
      <c r="AA42" s="2"/>
      <c r="AB42" s="1"/>
      <c r="AC42" s="1">
        <v>7960.62</v>
      </c>
      <c r="AD42" s="1">
        <v>0</v>
      </c>
      <c r="AE42" s="1">
        <v>0</v>
      </c>
      <c r="AF42" s="1">
        <v>8026.96</v>
      </c>
      <c r="AG42" s="1">
        <v>0</v>
      </c>
      <c r="AH42" s="1">
        <v>0</v>
      </c>
      <c r="AI42" s="1">
        <v>8026.96</v>
      </c>
      <c r="AJ42" s="1"/>
      <c r="AK42">
        <v>0</v>
      </c>
      <c r="AN42" t="s">
        <v>1057</v>
      </c>
      <c r="AO42" t="s">
        <v>1056</v>
      </c>
      <c r="AP42" s="1">
        <v>3980.31</v>
      </c>
      <c r="AQ42" s="2"/>
      <c r="AS42" s="1">
        <v>8198.24</v>
      </c>
      <c r="AT42" s="3">
        <v>46022</v>
      </c>
      <c r="AU42" s="1"/>
      <c r="AV42" s="1"/>
      <c r="AX42" t="s">
        <v>2</v>
      </c>
      <c r="AY42" s="1">
        <v>4125.1899999999996</v>
      </c>
      <c r="AZ42" s="1">
        <v>4031.26</v>
      </c>
      <c r="BA42" s="1">
        <v>4031.26</v>
      </c>
      <c r="BB42" t="s">
        <v>1</v>
      </c>
      <c r="BC42" t="b">
        <f>AZ42=BA42</f>
        <v>1</v>
      </c>
    </row>
    <row r="43" spans="1:55" x14ac:dyDescent="0.35">
      <c r="A43" t="s">
        <v>1103</v>
      </c>
      <c r="B43">
        <v>75003</v>
      </c>
      <c r="C43" t="s">
        <v>1102</v>
      </c>
      <c r="D43" t="s">
        <v>20</v>
      </c>
      <c r="E43" t="s">
        <v>1101</v>
      </c>
      <c r="F43" t="s">
        <v>1100</v>
      </c>
      <c r="G43" t="s">
        <v>17</v>
      </c>
      <c r="H43" t="s">
        <v>16</v>
      </c>
      <c r="I43" t="s">
        <v>15</v>
      </c>
      <c r="J43" t="s">
        <v>1099</v>
      </c>
      <c r="K43" t="s">
        <v>13</v>
      </c>
      <c r="L43" t="s">
        <v>1098</v>
      </c>
      <c r="M43" t="s">
        <v>11</v>
      </c>
      <c r="N43" t="s">
        <v>1097</v>
      </c>
      <c r="O43" t="s">
        <v>9</v>
      </c>
      <c r="P43" t="s">
        <v>8</v>
      </c>
      <c r="Q43" t="s">
        <v>8</v>
      </c>
      <c r="R43" t="s">
        <v>7</v>
      </c>
      <c r="T43" s="2"/>
      <c r="U43" s="2">
        <v>45923</v>
      </c>
      <c r="V43" s="2">
        <v>45141</v>
      </c>
      <c r="W43" s="1">
        <v>1889.5</v>
      </c>
      <c r="X43"/>
      <c r="Y43" t="s">
        <v>200</v>
      </c>
      <c r="Z43" t="s">
        <v>5</v>
      </c>
      <c r="AA43" s="2">
        <v>46600</v>
      </c>
      <c r="AB43" s="1">
        <v>1889.5</v>
      </c>
      <c r="AC43" s="1">
        <v>1889.5</v>
      </c>
      <c r="AD43" s="1">
        <v>0</v>
      </c>
      <c r="AE43" s="1">
        <v>0</v>
      </c>
      <c r="AF43" s="1">
        <v>2631.2</v>
      </c>
      <c r="AG43" s="1">
        <v>0</v>
      </c>
      <c r="AH43" s="1">
        <v>0</v>
      </c>
      <c r="AI43" s="1">
        <v>2631.2</v>
      </c>
      <c r="AJ43" s="1"/>
      <c r="AK43">
        <v>0</v>
      </c>
      <c r="AN43" t="s">
        <v>1096</v>
      </c>
      <c r="AO43" t="s">
        <v>1095</v>
      </c>
      <c r="AP43" s="1">
        <v>1889.5</v>
      </c>
      <c r="AQ43" s="2"/>
      <c r="AS43" s="1">
        <v>4650.1400000000003</v>
      </c>
      <c r="AT43" s="3">
        <v>46022</v>
      </c>
      <c r="AU43" s="1"/>
      <c r="AV43" s="1"/>
      <c r="AX43" t="s">
        <v>2</v>
      </c>
      <c r="AY43" s="1">
        <v>1975.86</v>
      </c>
      <c r="AZ43" s="1">
        <v>1889.5</v>
      </c>
      <c r="BA43" s="1">
        <v>1889.5</v>
      </c>
      <c r="BB43" t="s">
        <v>1</v>
      </c>
      <c r="BC43" t="b">
        <f>AZ43=BA43</f>
        <v>1</v>
      </c>
    </row>
    <row r="44" spans="1:55" x14ac:dyDescent="0.35">
      <c r="A44" t="s">
        <v>1094</v>
      </c>
      <c r="B44">
        <v>75006</v>
      </c>
      <c r="C44" t="s">
        <v>1093</v>
      </c>
      <c r="D44" t="s">
        <v>23</v>
      </c>
      <c r="E44" t="s">
        <v>1092</v>
      </c>
      <c r="F44" t="s">
        <v>18</v>
      </c>
      <c r="G44" t="s">
        <v>17</v>
      </c>
      <c r="H44" t="s">
        <v>16</v>
      </c>
      <c r="I44" t="s">
        <v>15</v>
      </c>
      <c r="J44" t="s">
        <v>1091</v>
      </c>
      <c r="K44" t="s">
        <v>13</v>
      </c>
      <c r="L44" t="s">
        <v>1090</v>
      </c>
      <c r="M44" t="s">
        <v>697</v>
      </c>
      <c r="N44" t="s">
        <v>1089</v>
      </c>
      <c r="O44" t="s">
        <v>9</v>
      </c>
      <c r="P44" t="s">
        <v>29</v>
      </c>
      <c r="Q44" t="s">
        <v>124</v>
      </c>
      <c r="R44" t="s">
        <v>1088</v>
      </c>
      <c r="T44" s="2"/>
      <c r="U44" s="2">
        <v>45924</v>
      </c>
      <c r="V44" s="2">
        <v>45918</v>
      </c>
      <c r="W44" s="1">
        <v>40000</v>
      </c>
      <c r="X44">
        <v>40000</v>
      </c>
      <c r="Y44" t="s">
        <v>6</v>
      </c>
      <c r="Z44" t="s">
        <v>5</v>
      </c>
      <c r="AA44" s="2">
        <v>46661</v>
      </c>
      <c r="AB44" s="1">
        <v>40000</v>
      </c>
      <c r="AC44" s="1">
        <v>0</v>
      </c>
      <c r="AD44" s="1">
        <v>40000</v>
      </c>
      <c r="AE44" s="1">
        <v>0</v>
      </c>
      <c r="AF44" s="1">
        <v>0</v>
      </c>
      <c r="AG44" s="1">
        <v>40770.910000000003</v>
      </c>
      <c r="AH44" s="1">
        <v>0</v>
      </c>
      <c r="AI44" s="1">
        <v>40770.910000000003</v>
      </c>
      <c r="AJ44" s="1"/>
      <c r="AK44">
        <v>0</v>
      </c>
      <c r="AN44" t="s">
        <v>1087</v>
      </c>
      <c r="AO44" t="s">
        <v>1086</v>
      </c>
      <c r="AP44" s="1">
        <v>40000</v>
      </c>
      <c r="AQ44" s="2"/>
      <c r="AS44" s="1">
        <v>84136.06</v>
      </c>
      <c r="AT44" s="3">
        <v>46022</v>
      </c>
      <c r="AU44" s="1"/>
      <c r="AV44" s="1"/>
      <c r="AX44" t="s">
        <v>2</v>
      </c>
      <c r="AY44" s="1">
        <v>42536.04</v>
      </c>
      <c r="AZ44" s="1">
        <v>40677.089999999997</v>
      </c>
      <c r="BA44" s="1">
        <v>40677.089999999997</v>
      </c>
      <c r="BB44" t="s">
        <v>23</v>
      </c>
      <c r="BC44" t="b">
        <f>AZ44=BA44</f>
        <v>1</v>
      </c>
    </row>
    <row r="45" spans="1:55" x14ac:dyDescent="0.35">
      <c r="A45" t="s">
        <v>1085</v>
      </c>
      <c r="B45">
        <v>75007</v>
      </c>
      <c r="C45" t="s">
        <v>1084</v>
      </c>
      <c r="D45" t="s">
        <v>20</v>
      </c>
      <c r="E45" t="s">
        <v>347</v>
      </c>
      <c r="F45" t="s">
        <v>18</v>
      </c>
      <c r="G45" t="s">
        <v>17</v>
      </c>
      <c r="H45" t="s">
        <v>16</v>
      </c>
      <c r="I45" t="s">
        <v>15</v>
      </c>
      <c r="J45" t="s">
        <v>1083</v>
      </c>
      <c r="K45" t="s">
        <v>179</v>
      </c>
      <c r="L45" t="s">
        <v>1082</v>
      </c>
      <c r="M45" t="s">
        <v>11</v>
      </c>
      <c r="N45" t="s">
        <v>344</v>
      </c>
      <c r="O45" t="s">
        <v>9</v>
      </c>
      <c r="P45" t="s">
        <v>8</v>
      </c>
      <c r="Q45" t="s">
        <v>8</v>
      </c>
      <c r="R45" t="s">
        <v>7</v>
      </c>
      <c r="T45" s="2"/>
      <c r="U45" s="2">
        <v>45924</v>
      </c>
      <c r="V45" s="2">
        <v>45624</v>
      </c>
      <c r="W45" s="1">
        <v>20316.12</v>
      </c>
      <c r="X45"/>
      <c r="Y45" t="s">
        <v>200</v>
      </c>
      <c r="Z45" t="s">
        <v>5</v>
      </c>
      <c r="AA45" s="2">
        <v>46661</v>
      </c>
      <c r="AB45" s="1">
        <v>10158.06</v>
      </c>
      <c r="AC45" s="1">
        <v>20316.12</v>
      </c>
      <c r="AD45" s="1">
        <v>0</v>
      </c>
      <c r="AE45" s="1">
        <v>0</v>
      </c>
      <c r="AF45" s="1">
        <v>10333.41</v>
      </c>
      <c r="AG45" s="1">
        <v>0</v>
      </c>
      <c r="AH45" s="1">
        <v>0</v>
      </c>
      <c r="AI45" s="1">
        <v>10333.41</v>
      </c>
      <c r="AJ45" s="1"/>
      <c r="AK45">
        <v>0</v>
      </c>
      <c r="AN45" t="s">
        <v>341</v>
      </c>
      <c r="AO45" t="s">
        <v>340</v>
      </c>
      <c r="AP45" s="1">
        <v>10158.06</v>
      </c>
      <c r="AQ45" s="2"/>
      <c r="AS45" s="1">
        <v>20789.48</v>
      </c>
      <c r="AT45" s="3">
        <v>46022</v>
      </c>
      <c r="AU45" s="1"/>
      <c r="AV45" s="1"/>
      <c r="AX45" t="s">
        <v>2</v>
      </c>
      <c r="AY45" s="1">
        <v>10394.74</v>
      </c>
      <c r="AZ45" s="1">
        <v>10158.06</v>
      </c>
      <c r="BA45" s="1">
        <v>10158.06</v>
      </c>
      <c r="BB45" t="s">
        <v>1</v>
      </c>
      <c r="BC45" t="b">
        <f>AZ45=BA45</f>
        <v>1</v>
      </c>
    </row>
    <row r="46" spans="1:55" x14ac:dyDescent="0.35">
      <c r="A46" t="s">
        <v>1081</v>
      </c>
      <c r="B46">
        <v>75011</v>
      </c>
      <c r="C46" t="s">
        <v>1080</v>
      </c>
      <c r="D46" t="s">
        <v>20</v>
      </c>
      <c r="E46" t="s">
        <v>1079</v>
      </c>
      <c r="F46" t="s">
        <v>1078</v>
      </c>
      <c r="G46" t="s">
        <v>17</v>
      </c>
      <c r="H46" t="s">
        <v>181</v>
      </c>
      <c r="I46" t="s">
        <v>15</v>
      </c>
      <c r="J46" t="s">
        <v>180</v>
      </c>
      <c r="K46" t="s">
        <v>179</v>
      </c>
      <c r="L46" t="s">
        <v>1077</v>
      </c>
      <c r="M46" t="s">
        <v>11</v>
      </c>
      <c r="N46" t="s">
        <v>1076</v>
      </c>
      <c r="O46" t="s">
        <v>610</v>
      </c>
      <c r="P46" t="s">
        <v>8</v>
      </c>
      <c r="Q46" t="s">
        <v>8</v>
      </c>
      <c r="R46" t="s">
        <v>7</v>
      </c>
      <c r="T46" s="2"/>
      <c r="U46" s="2">
        <v>45925</v>
      </c>
      <c r="V46" s="2">
        <v>45553</v>
      </c>
      <c r="W46" s="1">
        <v>55534.87</v>
      </c>
      <c r="X46"/>
      <c r="Y46" t="s">
        <v>200</v>
      </c>
      <c r="Z46" t="s">
        <v>5</v>
      </c>
      <c r="AA46" s="2"/>
      <c r="AB46" s="1"/>
      <c r="AC46" s="1">
        <v>55534.87</v>
      </c>
      <c r="AD46" s="1">
        <v>0</v>
      </c>
      <c r="AE46" s="1">
        <v>0</v>
      </c>
      <c r="AF46" s="1">
        <v>56001.05</v>
      </c>
      <c r="AG46" s="1">
        <v>0</v>
      </c>
      <c r="AH46" s="1">
        <v>0</v>
      </c>
      <c r="AI46" s="1">
        <v>56001.05</v>
      </c>
      <c r="AJ46" s="1"/>
      <c r="AK46">
        <v>0</v>
      </c>
      <c r="AP46" s="1">
        <v>27538.959999999999</v>
      </c>
      <c r="AQ46" s="2"/>
      <c r="AS46" s="1">
        <v>56828.83</v>
      </c>
      <c r="AT46" s="3">
        <v>46022</v>
      </c>
      <c r="AU46" s="1"/>
      <c r="AV46" s="1"/>
      <c r="AX46" t="s">
        <v>2</v>
      </c>
      <c r="AY46" s="1">
        <v>28648.21</v>
      </c>
      <c r="AZ46" s="1">
        <v>27995.91</v>
      </c>
      <c r="BA46" s="1">
        <v>27995.91</v>
      </c>
      <c r="BB46" t="s">
        <v>1</v>
      </c>
      <c r="BC46" t="b">
        <f>AZ46=BA46</f>
        <v>1</v>
      </c>
    </row>
    <row r="47" spans="1:55" x14ac:dyDescent="0.35">
      <c r="A47" t="s">
        <v>1075</v>
      </c>
      <c r="B47">
        <v>75009</v>
      </c>
      <c r="C47" t="s">
        <v>1074</v>
      </c>
      <c r="D47" t="s">
        <v>20</v>
      </c>
      <c r="E47" t="s">
        <v>789</v>
      </c>
      <c r="F47" t="s">
        <v>788</v>
      </c>
      <c r="G47" t="s">
        <v>17</v>
      </c>
      <c r="H47" t="s">
        <v>181</v>
      </c>
      <c r="I47" t="s">
        <v>15</v>
      </c>
      <c r="J47" t="s">
        <v>180</v>
      </c>
      <c r="K47" t="s">
        <v>179</v>
      </c>
      <c r="L47" t="s">
        <v>787</v>
      </c>
      <c r="M47" t="s">
        <v>11</v>
      </c>
      <c r="N47" t="s">
        <v>786</v>
      </c>
      <c r="O47" t="s">
        <v>449</v>
      </c>
      <c r="P47" t="s">
        <v>8</v>
      </c>
      <c r="Q47" t="s">
        <v>8</v>
      </c>
      <c r="R47" t="s">
        <v>7</v>
      </c>
      <c r="T47" s="2"/>
      <c r="U47" s="2">
        <v>45925</v>
      </c>
      <c r="V47" s="2">
        <v>45916</v>
      </c>
      <c r="W47" s="1">
        <v>4160.5</v>
      </c>
      <c r="X47">
        <v>2080.25</v>
      </c>
      <c r="Y47" t="s">
        <v>200</v>
      </c>
      <c r="Z47" t="s">
        <v>5</v>
      </c>
      <c r="AA47" s="2"/>
      <c r="AB47" s="1"/>
      <c r="AC47" s="1">
        <v>4160.5</v>
      </c>
      <c r="AD47" s="1">
        <v>0</v>
      </c>
      <c r="AE47" s="1">
        <v>0</v>
      </c>
      <c r="AF47" s="1">
        <v>2136.5100000000002</v>
      </c>
      <c r="AG47" s="1">
        <v>0</v>
      </c>
      <c r="AH47" s="1">
        <v>0</v>
      </c>
      <c r="AI47" s="1">
        <v>2136.5100000000002</v>
      </c>
      <c r="AJ47" s="1"/>
      <c r="AK47">
        <v>0</v>
      </c>
      <c r="AN47" t="s">
        <v>785</v>
      </c>
      <c r="AO47" t="s">
        <v>784</v>
      </c>
      <c r="AP47" s="1">
        <v>2080.25</v>
      </c>
      <c r="AQ47" s="2"/>
      <c r="AS47" s="1">
        <v>4257.4399999999996</v>
      </c>
      <c r="AT47" s="3">
        <v>45991</v>
      </c>
      <c r="AU47" s="1"/>
      <c r="AV47" s="1"/>
      <c r="AX47" t="s">
        <v>2</v>
      </c>
      <c r="AY47" s="4">
        <v>2133.85</v>
      </c>
      <c r="AZ47" s="1">
        <v>2106.88</v>
      </c>
      <c r="BA47" s="1">
        <v>2106.88</v>
      </c>
      <c r="BB47" t="s">
        <v>1</v>
      </c>
      <c r="BC47" t="b">
        <f>AZ47=BA47</f>
        <v>1</v>
      </c>
    </row>
    <row r="48" spans="1:55" x14ac:dyDescent="0.35">
      <c r="A48" t="s">
        <v>1073</v>
      </c>
      <c r="B48">
        <v>75012</v>
      </c>
      <c r="C48" t="s">
        <v>1072</v>
      </c>
      <c r="D48" t="s">
        <v>23</v>
      </c>
      <c r="E48" t="s">
        <v>1071</v>
      </c>
      <c r="F48" t="s">
        <v>139</v>
      </c>
      <c r="G48" t="s">
        <v>17</v>
      </c>
      <c r="H48" t="s">
        <v>16</v>
      </c>
      <c r="I48" t="s">
        <v>15</v>
      </c>
      <c r="J48" t="s">
        <v>138</v>
      </c>
      <c r="K48" t="s">
        <v>33</v>
      </c>
      <c r="L48" t="s">
        <v>1070</v>
      </c>
      <c r="M48" t="s">
        <v>136</v>
      </c>
      <c r="N48" t="s">
        <v>303</v>
      </c>
      <c r="O48" t="s">
        <v>42</v>
      </c>
      <c r="P48" t="s">
        <v>29</v>
      </c>
      <c r="Q48" t="s">
        <v>124</v>
      </c>
      <c r="R48" t="s">
        <v>28</v>
      </c>
      <c r="T48" s="2"/>
      <c r="U48" s="2">
        <v>45930</v>
      </c>
      <c r="V48" s="2">
        <v>45923</v>
      </c>
      <c r="W48" s="1">
        <v>20000</v>
      </c>
      <c r="X48">
        <v>20000</v>
      </c>
      <c r="Y48" t="s">
        <v>133</v>
      </c>
      <c r="Z48" t="s">
        <v>5</v>
      </c>
      <c r="AA48" s="2"/>
      <c r="AB48" s="1"/>
      <c r="AC48" s="1">
        <v>0</v>
      </c>
      <c r="AD48" s="1">
        <v>20000</v>
      </c>
      <c r="AE48" s="1">
        <v>0</v>
      </c>
      <c r="AF48" s="1">
        <v>0</v>
      </c>
      <c r="AG48" s="1">
        <v>20246.669999999998</v>
      </c>
      <c r="AH48" s="1">
        <v>0</v>
      </c>
      <c r="AI48" s="1">
        <v>20246.669999999998</v>
      </c>
      <c r="AJ48" s="1"/>
      <c r="AK48">
        <v>0</v>
      </c>
      <c r="AN48" t="s">
        <v>1069</v>
      </c>
      <c r="AO48" t="s">
        <v>1068</v>
      </c>
      <c r="AP48" s="1">
        <v>20000</v>
      </c>
      <c r="AQ48" s="2"/>
      <c r="AS48" s="1">
        <v>20646.669999999998</v>
      </c>
      <c r="AT48" s="3">
        <v>46022</v>
      </c>
      <c r="AU48" s="1"/>
      <c r="AV48" s="1"/>
      <c r="AX48" t="s">
        <v>2</v>
      </c>
      <c r="AY48" s="1">
        <v>0</v>
      </c>
      <c r="AZ48" s="1">
        <v>0</v>
      </c>
      <c r="BA48" s="1" t="s">
        <v>0</v>
      </c>
      <c r="BB48" t="s">
        <v>23</v>
      </c>
      <c r="BC48" t="s">
        <v>0</v>
      </c>
    </row>
    <row r="49" spans="1:55" x14ac:dyDescent="0.35">
      <c r="A49" t="s">
        <v>1067</v>
      </c>
      <c r="B49">
        <v>75013</v>
      </c>
      <c r="C49" t="s">
        <v>1066</v>
      </c>
      <c r="D49" t="s">
        <v>23</v>
      </c>
      <c r="E49" t="s">
        <v>1065</v>
      </c>
      <c r="F49" t="s">
        <v>139</v>
      </c>
      <c r="G49" t="s">
        <v>17</v>
      </c>
      <c r="H49" t="s">
        <v>16</v>
      </c>
      <c r="I49" t="s">
        <v>15</v>
      </c>
      <c r="J49" t="s">
        <v>138</v>
      </c>
      <c r="K49" t="s">
        <v>33</v>
      </c>
      <c r="L49" t="s">
        <v>1064</v>
      </c>
      <c r="M49" t="s">
        <v>136</v>
      </c>
      <c r="N49" t="s">
        <v>303</v>
      </c>
      <c r="O49" t="s">
        <v>42</v>
      </c>
      <c r="P49" t="s">
        <v>29</v>
      </c>
      <c r="Q49" t="s">
        <v>124</v>
      </c>
      <c r="R49" t="s">
        <v>28</v>
      </c>
      <c r="T49" s="2"/>
      <c r="U49" s="2">
        <v>45930</v>
      </c>
      <c r="V49" s="2">
        <v>45923</v>
      </c>
      <c r="W49" s="1">
        <v>20000</v>
      </c>
      <c r="X49">
        <v>20000</v>
      </c>
      <c r="Y49" t="s">
        <v>133</v>
      </c>
      <c r="Z49" t="s">
        <v>5</v>
      </c>
      <c r="AA49" s="2"/>
      <c r="AB49" s="1"/>
      <c r="AC49" s="1">
        <v>0</v>
      </c>
      <c r="AD49" s="1">
        <v>20000</v>
      </c>
      <c r="AE49" s="1">
        <v>0</v>
      </c>
      <c r="AF49" s="1">
        <v>0</v>
      </c>
      <c r="AG49" s="1">
        <v>20246.669999999998</v>
      </c>
      <c r="AH49" s="1">
        <v>0</v>
      </c>
      <c r="AI49" s="1">
        <v>20246.669999999998</v>
      </c>
      <c r="AJ49" s="1"/>
      <c r="AK49">
        <v>0</v>
      </c>
      <c r="AN49" t="s">
        <v>1063</v>
      </c>
      <c r="AO49" t="s">
        <v>1062</v>
      </c>
      <c r="AP49" s="1">
        <v>20000</v>
      </c>
      <c r="AQ49" s="2"/>
      <c r="AS49" s="1">
        <v>20646.669999999998</v>
      </c>
      <c r="AT49" s="3">
        <v>46022</v>
      </c>
      <c r="AU49" s="1"/>
      <c r="AV49" s="1"/>
      <c r="AX49" t="s">
        <v>2</v>
      </c>
      <c r="AY49" s="1">
        <v>0</v>
      </c>
      <c r="AZ49" s="1">
        <v>0</v>
      </c>
      <c r="BA49" s="1" t="s">
        <v>0</v>
      </c>
      <c r="BB49" t="s">
        <v>23</v>
      </c>
      <c r="BC49" t="s">
        <v>0</v>
      </c>
    </row>
    <row r="50" spans="1:55" x14ac:dyDescent="0.35">
      <c r="A50" t="s">
        <v>1061</v>
      </c>
      <c r="B50">
        <v>75015</v>
      </c>
      <c r="C50" t="s">
        <v>1060</v>
      </c>
      <c r="D50" t="s">
        <v>20</v>
      </c>
      <c r="E50" t="s">
        <v>1059</v>
      </c>
      <c r="F50" t="s">
        <v>18</v>
      </c>
      <c r="G50" t="s">
        <v>17</v>
      </c>
      <c r="H50" t="s">
        <v>16</v>
      </c>
      <c r="I50" t="s">
        <v>15</v>
      </c>
      <c r="J50" t="s">
        <v>545</v>
      </c>
      <c r="K50" t="s">
        <v>179</v>
      </c>
      <c r="L50" t="s">
        <v>1058</v>
      </c>
      <c r="M50" t="s">
        <v>11</v>
      </c>
      <c r="N50" t="s">
        <v>905</v>
      </c>
      <c r="O50" t="s">
        <v>489</v>
      </c>
      <c r="P50" t="s">
        <v>8</v>
      </c>
      <c r="Q50" t="s">
        <v>8</v>
      </c>
      <c r="R50" t="s">
        <v>7</v>
      </c>
      <c r="T50" s="2"/>
      <c r="U50" s="2">
        <v>45930</v>
      </c>
      <c r="V50" s="2">
        <v>45923</v>
      </c>
      <c r="W50" s="1">
        <v>17973.72</v>
      </c>
      <c r="X50">
        <v>8986.86</v>
      </c>
      <c r="Y50" t="s">
        <v>200</v>
      </c>
      <c r="Z50" t="s">
        <v>5</v>
      </c>
      <c r="AA50" s="2"/>
      <c r="AB50" s="1"/>
      <c r="AC50" s="1">
        <v>17973.72</v>
      </c>
      <c r="AD50" s="1">
        <v>0</v>
      </c>
      <c r="AE50" s="1">
        <v>0</v>
      </c>
      <c r="AF50" s="1">
        <v>18084.560000000001</v>
      </c>
      <c r="AG50" s="1">
        <v>0</v>
      </c>
      <c r="AH50" s="1">
        <v>0</v>
      </c>
      <c r="AI50" s="1">
        <v>18084.560000000001</v>
      </c>
      <c r="AJ50" s="1"/>
      <c r="AK50">
        <v>0</v>
      </c>
      <c r="AN50" t="s">
        <v>1057</v>
      </c>
      <c r="AO50" t="s">
        <v>1056</v>
      </c>
      <c r="AP50" s="1">
        <v>8986.86</v>
      </c>
      <c r="AQ50" s="2"/>
      <c r="AS50" s="1">
        <v>18203.78</v>
      </c>
      <c r="AT50" s="3">
        <v>45991</v>
      </c>
      <c r="AU50" s="1"/>
      <c r="AV50" s="1"/>
      <c r="AX50" t="s">
        <v>2</v>
      </c>
      <c r="AY50" s="4">
        <v>9101.89</v>
      </c>
      <c r="AZ50" s="1"/>
      <c r="BA50" s="1" t="s">
        <v>0</v>
      </c>
      <c r="BB50" t="s">
        <v>1</v>
      </c>
      <c r="BC50" t="s">
        <v>0</v>
      </c>
    </row>
    <row r="51" spans="1:55" x14ac:dyDescent="0.35">
      <c r="A51" t="s">
        <v>1055</v>
      </c>
      <c r="B51">
        <v>75021</v>
      </c>
      <c r="C51" t="s">
        <v>1054</v>
      </c>
      <c r="D51" t="s">
        <v>23</v>
      </c>
      <c r="E51" t="s">
        <v>1006</v>
      </c>
      <c r="F51" t="s">
        <v>18</v>
      </c>
      <c r="G51" t="s">
        <v>17</v>
      </c>
      <c r="H51" t="s">
        <v>16</v>
      </c>
      <c r="I51" t="s">
        <v>15</v>
      </c>
      <c r="J51" t="s">
        <v>138</v>
      </c>
      <c r="K51" t="s">
        <v>33</v>
      </c>
      <c r="L51" t="s">
        <v>1053</v>
      </c>
      <c r="M51" t="s">
        <v>136</v>
      </c>
      <c r="N51" t="s">
        <v>813</v>
      </c>
      <c r="O51" t="s">
        <v>42</v>
      </c>
      <c r="P51" t="s">
        <v>134</v>
      </c>
      <c r="Q51" t="s">
        <v>124</v>
      </c>
      <c r="R51" t="s">
        <v>28</v>
      </c>
      <c r="T51" s="2"/>
      <c r="U51" s="2">
        <v>45933</v>
      </c>
      <c r="V51" s="2">
        <v>45926</v>
      </c>
      <c r="W51" s="1">
        <v>39500</v>
      </c>
      <c r="X51">
        <v>39500</v>
      </c>
      <c r="Y51" t="s">
        <v>133</v>
      </c>
      <c r="Z51" t="s">
        <v>5</v>
      </c>
      <c r="AA51" s="2"/>
      <c r="AB51" s="1"/>
      <c r="AC51" s="1">
        <v>0</v>
      </c>
      <c r="AD51" s="1">
        <v>39500</v>
      </c>
      <c r="AE51" s="1">
        <v>0</v>
      </c>
      <c r="AF51" s="1">
        <v>0</v>
      </c>
      <c r="AG51" s="1">
        <v>39947.67</v>
      </c>
      <c r="AH51" s="1">
        <v>0</v>
      </c>
      <c r="AI51" s="1">
        <v>39947.67</v>
      </c>
      <c r="AJ51" s="1"/>
      <c r="AK51">
        <v>0</v>
      </c>
      <c r="AN51" t="s">
        <v>1004</v>
      </c>
      <c r="AO51" t="s">
        <v>1003</v>
      </c>
      <c r="AP51" s="1">
        <v>39500</v>
      </c>
      <c r="AQ51" s="2"/>
      <c r="AS51" s="1">
        <v>0.02</v>
      </c>
      <c r="AT51" s="3" t="e">
        <v>#N/A</v>
      </c>
      <c r="AU51" s="1"/>
      <c r="AV51" s="1"/>
      <c r="AX51" t="s">
        <v>954</v>
      </c>
      <c r="AY51" t="s">
        <v>954</v>
      </c>
      <c r="AZ51" s="1"/>
      <c r="BA51" s="1" t="s">
        <v>0</v>
      </c>
      <c r="BB51" t="s">
        <v>23</v>
      </c>
      <c r="BC51" t="s">
        <v>0</v>
      </c>
    </row>
    <row r="52" spans="1:55" x14ac:dyDescent="0.35">
      <c r="A52" t="s">
        <v>1052</v>
      </c>
      <c r="B52">
        <v>75028</v>
      </c>
      <c r="C52" t="s">
        <v>1051</v>
      </c>
      <c r="D52" t="s">
        <v>20</v>
      </c>
      <c r="E52" t="s">
        <v>298</v>
      </c>
      <c r="F52" t="s">
        <v>77</v>
      </c>
      <c r="G52" t="s">
        <v>17</v>
      </c>
      <c r="H52" t="s">
        <v>16</v>
      </c>
      <c r="I52" t="s">
        <v>15</v>
      </c>
      <c r="J52" t="s">
        <v>297</v>
      </c>
      <c r="K52" t="s">
        <v>13</v>
      </c>
      <c r="L52" t="s">
        <v>1050</v>
      </c>
      <c r="M52" t="s">
        <v>11</v>
      </c>
      <c r="N52" t="s">
        <v>295</v>
      </c>
      <c r="O52" t="s">
        <v>9</v>
      </c>
      <c r="P52" t="s">
        <v>8</v>
      </c>
      <c r="Q52" t="s">
        <v>8</v>
      </c>
      <c r="R52" t="s">
        <v>7</v>
      </c>
      <c r="T52" s="2"/>
      <c r="U52" s="2">
        <v>45936</v>
      </c>
      <c r="V52" s="2">
        <v>45923</v>
      </c>
      <c r="W52" s="1">
        <v>17069.02</v>
      </c>
      <c r="X52">
        <v>17069.02</v>
      </c>
      <c r="Y52" t="s">
        <v>200</v>
      </c>
      <c r="Z52" t="s">
        <v>5</v>
      </c>
      <c r="AA52" s="2">
        <v>46661</v>
      </c>
      <c r="AB52" s="1">
        <v>17069.02</v>
      </c>
      <c r="AC52" s="1">
        <v>17069.02</v>
      </c>
      <c r="AD52" s="1">
        <v>0</v>
      </c>
      <c r="AE52" s="1">
        <v>0</v>
      </c>
      <c r="AF52" s="1">
        <v>17369.39</v>
      </c>
      <c r="AG52" s="1">
        <v>0</v>
      </c>
      <c r="AH52" s="1">
        <v>0</v>
      </c>
      <c r="AI52" s="1">
        <v>17369.39</v>
      </c>
      <c r="AJ52" s="1"/>
      <c r="AK52">
        <v>0</v>
      </c>
      <c r="AN52" t="s">
        <v>292</v>
      </c>
      <c r="AO52" t="s">
        <v>291</v>
      </c>
      <c r="AP52" s="1">
        <v>17069.02</v>
      </c>
      <c r="AQ52" s="2"/>
      <c r="AS52" s="1">
        <v>35572.26</v>
      </c>
      <c r="AT52" s="3">
        <v>46022</v>
      </c>
      <c r="AU52" s="1"/>
      <c r="AV52" s="1"/>
      <c r="AX52" t="s">
        <v>2</v>
      </c>
      <c r="AY52" s="1">
        <v>17849.080000000002</v>
      </c>
      <c r="AZ52" s="1">
        <v>17069.02</v>
      </c>
      <c r="BA52" s="1" t="s">
        <v>0</v>
      </c>
      <c r="BB52" t="s">
        <v>1</v>
      </c>
      <c r="BC52" t="s">
        <v>0</v>
      </c>
    </row>
    <row r="53" spans="1:55" x14ac:dyDescent="0.35">
      <c r="A53" t="s">
        <v>1049</v>
      </c>
      <c r="B53">
        <v>75026</v>
      </c>
      <c r="C53" t="s">
        <v>1048</v>
      </c>
      <c r="D53" t="s">
        <v>20</v>
      </c>
      <c r="E53" t="s">
        <v>298</v>
      </c>
      <c r="F53" t="s">
        <v>77</v>
      </c>
      <c r="G53" t="s">
        <v>17</v>
      </c>
      <c r="H53" t="s">
        <v>16</v>
      </c>
      <c r="I53" t="s">
        <v>15</v>
      </c>
      <c r="J53" t="s">
        <v>297</v>
      </c>
      <c r="K53" t="s">
        <v>13</v>
      </c>
      <c r="L53" t="s">
        <v>1047</v>
      </c>
      <c r="M53" t="s">
        <v>11</v>
      </c>
      <c r="N53" t="s">
        <v>295</v>
      </c>
      <c r="O53" t="s">
        <v>9</v>
      </c>
      <c r="P53" t="s">
        <v>8</v>
      </c>
      <c r="Q53" t="s">
        <v>8</v>
      </c>
      <c r="R53" t="s">
        <v>7</v>
      </c>
      <c r="T53" s="2"/>
      <c r="U53" s="2">
        <v>45936</v>
      </c>
      <c r="V53" s="2">
        <v>45923</v>
      </c>
      <c r="W53" s="1">
        <v>4932.6000000000004</v>
      </c>
      <c r="X53">
        <v>4932.6000000000004</v>
      </c>
      <c r="Y53" t="s">
        <v>200</v>
      </c>
      <c r="Z53" t="s">
        <v>5</v>
      </c>
      <c r="AA53" s="2">
        <v>46692</v>
      </c>
      <c r="AB53" s="1">
        <v>4932.6000000000004</v>
      </c>
      <c r="AC53" s="1">
        <v>4932.6000000000004</v>
      </c>
      <c r="AD53" s="1">
        <v>0</v>
      </c>
      <c r="AE53" s="1">
        <v>0</v>
      </c>
      <c r="AF53" s="1">
        <v>5019.3999999999996</v>
      </c>
      <c r="AG53" s="1">
        <v>0</v>
      </c>
      <c r="AH53" s="1">
        <v>0</v>
      </c>
      <c r="AI53" s="1">
        <v>5019.3999999999996</v>
      </c>
      <c r="AJ53" s="1"/>
      <c r="AK53">
        <v>0</v>
      </c>
      <c r="AN53" t="s">
        <v>292</v>
      </c>
      <c r="AO53" t="s">
        <v>291</v>
      </c>
      <c r="AP53" s="1">
        <v>4932.6000000000004</v>
      </c>
      <c r="AQ53" s="2"/>
      <c r="AS53" s="1">
        <v>10279.65</v>
      </c>
      <c r="AT53" s="3">
        <v>46022</v>
      </c>
      <c r="AU53" s="1"/>
      <c r="AV53" s="1"/>
      <c r="AX53" t="s">
        <v>2</v>
      </c>
      <c r="AY53" s="1">
        <v>5158.0200000000004</v>
      </c>
      <c r="AZ53" s="1">
        <v>4932.6000000000004</v>
      </c>
      <c r="BA53" s="1" t="s">
        <v>0</v>
      </c>
      <c r="BB53" t="s">
        <v>1</v>
      </c>
      <c r="BC53" t="s">
        <v>0</v>
      </c>
    </row>
    <row r="54" spans="1:55" x14ac:dyDescent="0.35">
      <c r="A54" t="s">
        <v>1046</v>
      </c>
      <c r="B54">
        <v>75024</v>
      </c>
      <c r="C54" t="s">
        <v>1045</v>
      </c>
      <c r="D54" t="s">
        <v>20</v>
      </c>
      <c r="E54" t="s">
        <v>298</v>
      </c>
      <c r="F54" t="s">
        <v>1041</v>
      </c>
      <c r="G54" t="s">
        <v>17</v>
      </c>
      <c r="H54" t="s">
        <v>16</v>
      </c>
      <c r="I54" t="s">
        <v>15</v>
      </c>
      <c r="J54" t="s">
        <v>1040</v>
      </c>
      <c r="K54" t="s">
        <v>13</v>
      </c>
      <c r="L54" t="s">
        <v>1044</v>
      </c>
      <c r="M54" t="s">
        <v>11</v>
      </c>
      <c r="N54" t="s">
        <v>295</v>
      </c>
      <c r="O54" t="s">
        <v>9</v>
      </c>
      <c r="P54" t="s">
        <v>8</v>
      </c>
      <c r="Q54" t="s">
        <v>8</v>
      </c>
      <c r="R54" t="s">
        <v>7</v>
      </c>
      <c r="T54" s="2"/>
      <c r="U54" s="2">
        <v>45936</v>
      </c>
      <c r="V54" s="2">
        <v>45923</v>
      </c>
      <c r="W54" s="1">
        <v>3526.7</v>
      </c>
      <c r="X54">
        <v>3526.7</v>
      </c>
      <c r="Y54" t="s">
        <v>200</v>
      </c>
      <c r="Z54" t="s">
        <v>5</v>
      </c>
      <c r="AA54" s="2">
        <v>46631</v>
      </c>
      <c r="AB54" s="1">
        <v>3526.7</v>
      </c>
      <c r="AC54" s="1">
        <v>3526.7</v>
      </c>
      <c r="AD54" s="1">
        <v>0</v>
      </c>
      <c r="AE54" s="1">
        <v>0</v>
      </c>
      <c r="AF54" s="1">
        <v>3588.76</v>
      </c>
      <c r="AG54" s="1">
        <v>0</v>
      </c>
      <c r="AH54" s="1">
        <v>0</v>
      </c>
      <c r="AI54" s="1">
        <v>3588.76</v>
      </c>
      <c r="AJ54" s="1"/>
      <c r="AK54">
        <v>0</v>
      </c>
      <c r="AN54" t="s">
        <v>292</v>
      </c>
      <c r="AO54" t="s">
        <v>291</v>
      </c>
      <c r="AP54" s="1">
        <v>3526.7</v>
      </c>
      <c r="AQ54" s="2"/>
      <c r="AS54" s="1">
        <v>7349.73</v>
      </c>
      <c r="AT54" s="3">
        <v>46022</v>
      </c>
      <c r="AU54" s="1"/>
      <c r="AV54" s="1"/>
      <c r="AX54" t="s">
        <v>2</v>
      </c>
      <c r="AY54" s="1">
        <v>3687.87</v>
      </c>
      <c r="AZ54" s="1">
        <v>3526.7</v>
      </c>
      <c r="BA54" s="1" t="s">
        <v>0</v>
      </c>
      <c r="BB54" t="s">
        <v>1</v>
      </c>
      <c r="BC54" t="s">
        <v>0</v>
      </c>
    </row>
    <row r="55" spans="1:55" x14ac:dyDescent="0.35">
      <c r="A55" t="s">
        <v>1043</v>
      </c>
      <c r="B55">
        <v>75025</v>
      </c>
      <c r="C55" t="s">
        <v>1042</v>
      </c>
      <c r="D55" t="s">
        <v>20</v>
      </c>
      <c r="E55" t="s">
        <v>298</v>
      </c>
      <c r="F55" t="s">
        <v>1041</v>
      </c>
      <c r="G55" t="s">
        <v>17</v>
      </c>
      <c r="H55" t="s">
        <v>16</v>
      </c>
      <c r="I55" t="s">
        <v>15</v>
      </c>
      <c r="J55" t="s">
        <v>1040</v>
      </c>
      <c r="K55" t="s">
        <v>13</v>
      </c>
      <c r="L55" t="s">
        <v>1039</v>
      </c>
      <c r="M55" t="s">
        <v>11</v>
      </c>
      <c r="N55" t="s">
        <v>295</v>
      </c>
      <c r="O55" t="s">
        <v>9</v>
      </c>
      <c r="P55" t="s">
        <v>8</v>
      </c>
      <c r="Q55" t="s">
        <v>8</v>
      </c>
      <c r="R55" t="s">
        <v>7</v>
      </c>
      <c r="T55" s="2"/>
      <c r="U55" s="2">
        <v>45936</v>
      </c>
      <c r="V55" s="2">
        <v>45923</v>
      </c>
      <c r="W55" s="1">
        <v>3350.92</v>
      </c>
      <c r="X55">
        <v>3350.92</v>
      </c>
      <c r="Y55" t="s">
        <v>200</v>
      </c>
      <c r="Z55" t="s">
        <v>5</v>
      </c>
      <c r="AA55" s="2">
        <v>46661</v>
      </c>
      <c r="AB55" s="1">
        <v>3350.92</v>
      </c>
      <c r="AC55" s="1">
        <v>3350.92</v>
      </c>
      <c r="AD55" s="1">
        <v>0</v>
      </c>
      <c r="AE55" s="1">
        <v>0</v>
      </c>
      <c r="AF55" s="1">
        <v>3409.88</v>
      </c>
      <c r="AG55" s="1">
        <v>0</v>
      </c>
      <c r="AH55" s="1">
        <v>0</v>
      </c>
      <c r="AI55" s="1">
        <v>3409.88</v>
      </c>
      <c r="AJ55" s="1"/>
      <c r="AK55">
        <v>0</v>
      </c>
      <c r="AN55" t="s">
        <v>292</v>
      </c>
      <c r="AO55" t="s">
        <v>291</v>
      </c>
      <c r="AP55" s="1">
        <v>3350.92</v>
      </c>
      <c r="AQ55" s="2"/>
      <c r="AS55" s="1">
        <v>6983.41</v>
      </c>
      <c r="AT55" s="3">
        <v>46022</v>
      </c>
      <c r="AU55" s="1"/>
      <c r="AV55" s="1"/>
      <c r="AX55" t="s">
        <v>2</v>
      </c>
      <c r="AY55" s="1">
        <v>3504.06</v>
      </c>
      <c r="AZ55" s="1">
        <v>3350.92</v>
      </c>
      <c r="BA55" s="1" t="s">
        <v>0</v>
      </c>
      <c r="BB55" t="s">
        <v>1</v>
      </c>
      <c r="BC55" t="s">
        <v>0</v>
      </c>
    </row>
    <row r="56" spans="1:55" x14ac:dyDescent="0.35">
      <c r="A56" t="s">
        <v>1038</v>
      </c>
      <c r="B56">
        <v>75029</v>
      </c>
      <c r="C56" t="s">
        <v>1037</v>
      </c>
      <c r="D56" t="s">
        <v>20</v>
      </c>
      <c r="E56" t="s">
        <v>298</v>
      </c>
      <c r="F56" t="s">
        <v>77</v>
      </c>
      <c r="G56" t="s">
        <v>17</v>
      </c>
      <c r="H56" t="s">
        <v>16</v>
      </c>
      <c r="I56" t="s">
        <v>15</v>
      </c>
      <c r="J56" t="s">
        <v>297</v>
      </c>
      <c r="K56" t="s">
        <v>13</v>
      </c>
      <c r="L56" t="s">
        <v>1034</v>
      </c>
      <c r="M56" t="s">
        <v>11</v>
      </c>
      <c r="N56" t="s">
        <v>295</v>
      </c>
      <c r="O56" t="s">
        <v>9</v>
      </c>
      <c r="P56" t="s">
        <v>8</v>
      </c>
      <c r="Q56" t="s">
        <v>8</v>
      </c>
      <c r="R56" t="s">
        <v>7</v>
      </c>
      <c r="T56" s="2"/>
      <c r="U56" s="2">
        <v>45936</v>
      </c>
      <c r="V56" s="2">
        <v>45923</v>
      </c>
      <c r="W56" s="1">
        <v>3039.61</v>
      </c>
      <c r="X56">
        <v>3039.61</v>
      </c>
      <c r="Y56" t="s">
        <v>200</v>
      </c>
      <c r="Z56" t="s">
        <v>5</v>
      </c>
      <c r="AA56" s="2">
        <v>46631</v>
      </c>
      <c r="AB56" s="1">
        <v>3039.61</v>
      </c>
      <c r="AC56" s="1">
        <v>3039.61</v>
      </c>
      <c r="AD56" s="1">
        <v>0</v>
      </c>
      <c r="AE56" s="1">
        <v>0</v>
      </c>
      <c r="AF56" s="1">
        <v>3093.1</v>
      </c>
      <c r="AG56" s="1">
        <v>0</v>
      </c>
      <c r="AH56" s="1">
        <v>0</v>
      </c>
      <c r="AI56" s="1">
        <v>3093.1</v>
      </c>
      <c r="AJ56" s="1"/>
      <c r="AK56">
        <v>0</v>
      </c>
      <c r="AN56" t="s">
        <v>292</v>
      </c>
      <c r="AO56" t="s">
        <v>291</v>
      </c>
      <c r="AP56" s="1">
        <v>3039.61</v>
      </c>
      <c r="AQ56" s="2"/>
      <c r="AS56" s="1">
        <v>6334.62</v>
      </c>
      <c r="AT56" s="3">
        <v>46022</v>
      </c>
      <c r="AU56" s="1"/>
      <c r="AV56" s="1"/>
      <c r="AX56" t="s">
        <v>2</v>
      </c>
      <c r="AY56" s="1">
        <v>3178.52</v>
      </c>
      <c r="AZ56" s="1">
        <v>3039.61</v>
      </c>
      <c r="BA56" s="1" t="s">
        <v>0</v>
      </c>
      <c r="BB56" t="s">
        <v>1</v>
      </c>
      <c r="BC56" t="s">
        <v>0</v>
      </c>
    </row>
    <row r="57" spans="1:55" x14ac:dyDescent="0.35">
      <c r="A57" t="s">
        <v>1036</v>
      </c>
      <c r="B57">
        <v>75027</v>
      </c>
      <c r="C57" t="s">
        <v>1035</v>
      </c>
      <c r="D57" t="s">
        <v>20</v>
      </c>
      <c r="E57" t="s">
        <v>298</v>
      </c>
      <c r="F57" t="s">
        <v>77</v>
      </c>
      <c r="G57" t="s">
        <v>17</v>
      </c>
      <c r="H57" t="s">
        <v>16</v>
      </c>
      <c r="I57" t="s">
        <v>15</v>
      </c>
      <c r="J57" t="s">
        <v>297</v>
      </c>
      <c r="K57" t="s">
        <v>13</v>
      </c>
      <c r="L57" t="s">
        <v>1034</v>
      </c>
      <c r="M57" t="s">
        <v>11</v>
      </c>
      <c r="N57" t="s">
        <v>295</v>
      </c>
      <c r="O57" t="s">
        <v>9</v>
      </c>
      <c r="P57" t="s">
        <v>8</v>
      </c>
      <c r="Q57" t="s">
        <v>8</v>
      </c>
      <c r="R57" t="s">
        <v>7</v>
      </c>
      <c r="T57" s="2"/>
      <c r="U57" s="2">
        <v>45936</v>
      </c>
      <c r="V57" s="2">
        <v>45923</v>
      </c>
      <c r="W57" s="1">
        <v>2026.43</v>
      </c>
      <c r="X57">
        <v>2026.43</v>
      </c>
      <c r="Y57" t="s">
        <v>200</v>
      </c>
      <c r="Z57" t="s">
        <v>5</v>
      </c>
      <c r="AA57" s="2">
        <v>46661</v>
      </c>
      <c r="AB57" s="1">
        <v>2026.43</v>
      </c>
      <c r="AC57" s="1">
        <v>2026.43</v>
      </c>
      <c r="AD57" s="1">
        <v>0</v>
      </c>
      <c r="AE57" s="1">
        <v>0</v>
      </c>
      <c r="AF57" s="1">
        <v>2062.09</v>
      </c>
      <c r="AG57" s="1">
        <v>0</v>
      </c>
      <c r="AH57" s="1">
        <v>0</v>
      </c>
      <c r="AI57" s="1">
        <v>2062.09</v>
      </c>
      <c r="AJ57" s="1"/>
      <c r="AK57">
        <v>0</v>
      </c>
      <c r="AN57" t="s">
        <v>292</v>
      </c>
      <c r="AO57" t="s">
        <v>291</v>
      </c>
      <c r="AP57" s="1">
        <v>2026.43</v>
      </c>
      <c r="AQ57" s="2"/>
      <c r="AS57" s="1">
        <v>4223.13</v>
      </c>
      <c r="AT57" s="3">
        <v>46022</v>
      </c>
      <c r="AU57" s="1"/>
      <c r="AV57" s="1"/>
      <c r="AX57" t="s">
        <v>2</v>
      </c>
      <c r="AY57" s="1">
        <v>2119.04</v>
      </c>
      <c r="AZ57" s="1">
        <v>2026.43</v>
      </c>
      <c r="BA57" s="1" t="s">
        <v>0</v>
      </c>
      <c r="BB57" t="s">
        <v>1</v>
      </c>
      <c r="BC57" t="s">
        <v>0</v>
      </c>
    </row>
    <row r="58" spans="1:55" x14ac:dyDescent="0.35">
      <c r="A58" t="s">
        <v>1033</v>
      </c>
      <c r="B58">
        <v>75030</v>
      </c>
      <c r="C58" t="s">
        <v>1032</v>
      </c>
      <c r="D58" t="s">
        <v>23</v>
      </c>
      <c r="E58" t="s">
        <v>1031</v>
      </c>
      <c r="F58" t="s">
        <v>120</v>
      </c>
      <c r="G58" t="s">
        <v>17</v>
      </c>
      <c r="H58" t="s">
        <v>16</v>
      </c>
      <c r="I58" t="s">
        <v>15</v>
      </c>
      <c r="J58" t="s">
        <v>85</v>
      </c>
      <c r="K58" t="s">
        <v>13</v>
      </c>
      <c r="L58" t="s">
        <v>1030</v>
      </c>
      <c r="M58" t="s">
        <v>150</v>
      </c>
      <c r="N58" t="s">
        <v>149</v>
      </c>
      <c r="O58" t="s">
        <v>9</v>
      </c>
      <c r="P58" t="s">
        <v>8</v>
      </c>
      <c r="Q58" t="s">
        <v>8</v>
      </c>
      <c r="R58" t="s">
        <v>534</v>
      </c>
      <c r="T58" s="2"/>
      <c r="U58" s="2">
        <v>45937</v>
      </c>
      <c r="V58" s="2">
        <v>45933</v>
      </c>
      <c r="W58" s="1">
        <v>52190.080000000002</v>
      </c>
      <c r="X58">
        <v>52190.080000000002</v>
      </c>
      <c r="Y58" t="s">
        <v>6</v>
      </c>
      <c r="Z58" t="s">
        <v>5</v>
      </c>
      <c r="AA58" s="2">
        <v>46661</v>
      </c>
      <c r="AB58" s="1">
        <v>52190.080000000002</v>
      </c>
      <c r="AC58" s="1">
        <v>52190.080000000002</v>
      </c>
      <c r="AD58" s="1">
        <v>0</v>
      </c>
      <c r="AE58" s="1">
        <v>0</v>
      </c>
      <c r="AF58" s="1">
        <v>52659.79</v>
      </c>
      <c r="AG58" s="1">
        <v>0</v>
      </c>
      <c r="AH58" s="1">
        <v>0</v>
      </c>
      <c r="AI58" s="1">
        <v>52659.79</v>
      </c>
      <c r="AJ58" s="1"/>
      <c r="AK58">
        <v>0</v>
      </c>
      <c r="AN58" t="s">
        <v>1029</v>
      </c>
      <c r="AO58" t="s">
        <v>1028</v>
      </c>
      <c r="AP58" s="1">
        <v>52190.080000000002</v>
      </c>
      <c r="AQ58" s="2"/>
      <c r="AS58" s="1">
        <v>108310.99</v>
      </c>
      <c r="AT58" s="3">
        <v>46022</v>
      </c>
      <c r="AU58" s="1"/>
      <c r="AV58" s="1"/>
      <c r="AX58" t="s">
        <v>2</v>
      </c>
      <c r="AY58" s="1">
        <v>54575.17</v>
      </c>
      <c r="AZ58" s="1">
        <v>52190.080000000002</v>
      </c>
      <c r="BA58" s="1" t="s">
        <v>0</v>
      </c>
      <c r="BB58" t="s">
        <v>23</v>
      </c>
      <c r="BC58" t="s">
        <v>0</v>
      </c>
    </row>
    <row r="59" spans="1:55" x14ac:dyDescent="0.35">
      <c r="A59" t="s">
        <v>1027</v>
      </c>
      <c r="B59">
        <v>75032</v>
      </c>
      <c r="C59" t="s">
        <v>1026</v>
      </c>
      <c r="D59" t="s">
        <v>20</v>
      </c>
      <c r="E59" t="s">
        <v>96</v>
      </c>
      <c r="F59" t="s">
        <v>18</v>
      </c>
      <c r="G59" t="s">
        <v>17</v>
      </c>
      <c r="H59" t="s">
        <v>16</v>
      </c>
      <c r="I59" t="s">
        <v>15</v>
      </c>
      <c r="J59" t="s">
        <v>1025</v>
      </c>
      <c r="K59" t="s">
        <v>13</v>
      </c>
      <c r="L59" t="s">
        <v>1024</v>
      </c>
      <c r="M59" t="s">
        <v>11</v>
      </c>
      <c r="N59" t="s">
        <v>94</v>
      </c>
      <c r="O59" t="s">
        <v>9</v>
      </c>
      <c r="P59" t="s">
        <v>8</v>
      </c>
      <c r="Q59" t="s">
        <v>8</v>
      </c>
      <c r="R59" t="s">
        <v>7</v>
      </c>
      <c r="T59" s="2"/>
      <c r="U59" s="2">
        <v>45937</v>
      </c>
      <c r="V59" s="2">
        <v>45930</v>
      </c>
      <c r="W59" s="1">
        <v>18796.61</v>
      </c>
      <c r="X59">
        <v>18797</v>
      </c>
      <c r="Y59" t="s">
        <v>200</v>
      </c>
      <c r="Z59" t="s">
        <v>5</v>
      </c>
      <c r="AA59" s="2">
        <v>47027</v>
      </c>
      <c r="AB59" s="1">
        <v>18797</v>
      </c>
      <c r="AC59" s="1">
        <v>18796.61</v>
      </c>
      <c r="AD59" s="1">
        <v>0</v>
      </c>
      <c r="AE59" s="1">
        <v>0</v>
      </c>
      <c r="AF59" s="1">
        <v>19083.29</v>
      </c>
      <c r="AG59" s="1">
        <v>0</v>
      </c>
      <c r="AH59" s="1">
        <v>0</v>
      </c>
      <c r="AI59" s="1">
        <v>19083.29</v>
      </c>
      <c r="AJ59" s="1"/>
      <c r="AK59">
        <v>0</v>
      </c>
      <c r="AN59" t="s">
        <v>91</v>
      </c>
      <c r="AO59" t="s">
        <v>90</v>
      </c>
      <c r="AP59" s="1">
        <v>18797</v>
      </c>
      <c r="AQ59" s="2"/>
      <c r="AS59" s="1">
        <v>39128.879999999997</v>
      </c>
      <c r="AT59" s="3">
        <v>46022</v>
      </c>
      <c r="AU59" s="1"/>
      <c r="AV59" s="1"/>
      <c r="AX59" t="s">
        <v>2</v>
      </c>
      <c r="AY59" s="1">
        <v>19656.02</v>
      </c>
      <c r="AZ59" s="1">
        <v>18797</v>
      </c>
      <c r="BA59" s="1" t="s">
        <v>0</v>
      </c>
      <c r="BB59" t="s">
        <v>1</v>
      </c>
      <c r="BC59" t="s">
        <v>0</v>
      </c>
    </row>
    <row r="60" spans="1:55" x14ac:dyDescent="0.35">
      <c r="A60" t="s">
        <v>1023</v>
      </c>
      <c r="B60">
        <v>75033</v>
      </c>
      <c r="C60" t="s">
        <v>1022</v>
      </c>
      <c r="D60" t="s">
        <v>20</v>
      </c>
      <c r="E60" t="s">
        <v>1021</v>
      </c>
      <c r="F60" t="s">
        <v>1020</v>
      </c>
      <c r="G60" t="s">
        <v>17</v>
      </c>
      <c r="H60" t="s">
        <v>16</v>
      </c>
      <c r="I60" t="s">
        <v>15</v>
      </c>
      <c r="J60" t="s">
        <v>1019</v>
      </c>
      <c r="K60" t="s">
        <v>33</v>
      </c>
      <c r="L60" t="s">
        <v>1018</v>
      </c>
      <c r="M60" t="s">
        <v>11</v>
      </c>
      <c r="N60" t="s">
        <v>1017</v>
      </c>
      <c r="O60" t="s">
        <v>42</v>
      </c>
      <c r="P60" t="s">
        <v>8</v>
      </c>
      <c r="Q60" t="s">
        <v>8</v>
      </c>
      <c r="R60" t="s">
        <v>7</v>
      </c>
      <c r="T60" s="2"/>
      <c r="U60" s="2">
        <v>45937</v>
      </c>
      <c r="V60" s="2">
        <v>45929</v>
      </c>
      <c r="W60" s="1">
        <v>11010.25</v>
      </c>
      <c r="X60">
        <v>11010.25</v>
      </c>
      <c r="Y60" t="s">
        <v>200</v>
      </c>
      <c r="Z60" t="s">
        <v>5</v>
      </c>
      <c r="AA60" s="2">
        <v>46266</v>
      </c>
      <c r="AB60" s="1">
        <v>11010.25</v>
      </c>
      <c r="AC60" s="1">
        <v>11010.25</v>
      </c>
      <c r="AD60" s="1">
        <v>0</v>
      </c>
      <c r="AE60" s="1">
        <v>0</v>
      </c>
      <c r="AF60" s="1">
        <v>11124.02</v>
      </c>
      <c r="AG60" s="1">
        <v>0</v>
      </c>
      <c r="AH60" s="1">
        <v>0</v>
      </c>
      <c r="AI60" s="1">
        <v>11124.02</v>
      </c>
      <c r="AJ60" s="1"/>
      <c r="AK60">
        <v>0</v>
      </c>
      <c r="AN60" t="s">
        <v>1016</v>
      </c>
      <c r="AO60" t="s">
        <v>1015</v>
      </c>
      <c r="AP60" s="1">
        <v>11010.25</v>
      </c>
      <c r="AQ60" s="2"/>
      <c r="AS60" s="1">
        <v>22791.22</v>
      </c>
      <c r="AT60" s="3">
        <v>46022</v>
      </c>
      <c r="AU60" s="1"/>
      <c r="AV60" s="1"/>
      <c r="AX60" t="s">
        <v>2</v>
      </c>
      <c r="AY60" s="1">
        <v>11446.99</v>
      </c>
      <c r="AZ60" s="1">
        <v>11010.25</v>
      </c>
      <c r="BA60" s="1" t="s">
        <v>0</v>
      </c>
      <c r="BB60" t="s">
        <v>1</v>
      </c>
      <c r="BC60" t="s">
        <v>0</v>
      </c>
    </row>
    <row r="61" spans="1:55" x14ac:dyDescent="0.35">
      <c r="A61" t="s">
        <v>1014</v>
      </c>
      <c r="B61">
        <v>75031</v>
      </c>
      <c r="C61" t="s">
        <v>1013</v>
      </c>
      <c r="D61" t="s">
        <v>23</v>
      </c>
      <c r="E61" t="s">
        <v>1012</v>
      </c>
      <c r="F61" t="s">
        <v>18</v>
      </c>
      <c r="G61" t="s">
        <v>17</v>
      </c>
      <c r="H61" t="s">
        <v>16</v>
      </c>
      <c r="I61" t="s">
        <v>15</v>
      </c>
      <c r="J61" t="s">
        <v>180</v>
      </c>
      <c r="K61" t="s">
        <v>13</v>
      </c>
      <c r="L61" t="s">
        <v>1011</v>
      </c>
      <c r="M61" t="s">
        <v>705</v>
      </c>
      <c r="N61" t="s">
        <v>149</v>
      </c>
      <c r="O61" t="s">
        <v>9</v>
      </c>
      <c r="P61" t="s">
        <v>29</v>
      </c>
      <c r="Q61" t="s">
        <v>124</v>
      </c>
      <c r="R61" t="s">
        <v>824</v>
      </c>
      <c r="T61" s="2"/>
      <c r="U61" s="2">
        <v>45937</v>
      </c>
      <c r="V61" s="2">
        <v>45930</v>
      </c>
      <c r="W61" s="1">
        <v>224598</v>
      </c>
      <c r="X61">
        <v>224598</v>
      </c>
      <c r="Y61" t="s">
        <v>189</v>
      </c>
      <c r="Z61" t="s">
        <v>5</v>
      </c>
      <c r="AA61" s="2">
        <v>46710</v>
      </c>
      <c r="AB61" s="1">
        <v>0.03</v>
      </c>
      <c r="AC61" s="1">
        <v>0</v>
      </c>
      <c r="AD61" s="1">
        <v>224598</v>
      </c>
      <c r="AE61" s="1">
        <v>0</v>
      </c>
      <c r="AF61" s="1">
        <v>0</v>
      </c>
      <c r="AG61" s="1">
        <v>228023.57</v>
      </c>
      <c r="AH61" s="1">
        <v>0</v>
      </c>
      <c r="AI61" s="1">
        <v>228023.57</v>
      </c>
      <c r="AJ61" s="1"/>
      <c r="AK61">
        <v>0</v>
      </c>
      <c r="AN61" t="s">
        <v>1010</v>
      </c>
      <c r="AO61" t="s">
        <v>1009</v>
      </c>
      <c r="AP61" s="1">
        <v>224598</v>
      </c>
      <c r="AQ61" s="2"/>
      <c r="AS61" s="1">
        <v>232678.46</v>
      </c>
      <c r="AT61" s="3">
        <v>46022</v>
      </c>
      <c r="AU61" s="1"/>
      <c r="AV61" s="1"/>
      <c r="AX61" t="s">
        <v>2</v>
      </c>
      <c r="AY61" s="1">
        <v>0.03</v>
      </c>
      <c r="AZ61" s="1">
        <v>0.03</v>
      </c>
      <c r="BA61" s="1" t="s">
        <v>0</v>
      </c>
      <c r="BB61" t="s">
        <v>23</v>
      </c>
      <c r="BC61" t="s">
        <v>0</v>
      </c>
    </row>
    <row r="62" spans="1:55" x14ac:dyDescent="0.35">
      <c r="A62" t="s">
        <v>1008</v>
      </c>
      <c r="B62">
        <v>75034</v>
      </c>
      <c r="C62" t="s">
        <v>1007</v>
      </c>
      <c r="D62" t="s">
        <v>23</v>
      </c>
      <c r="E62" t="s">
        <v>1006</v>
      </c>
      <c r="F62" t="s">
        <v>18</v>
      </c>
      <c r="G62" t="s">
        <v>17</v>
      </c>
      <c r="H62" t="s">
        <v>16</v>
      </c>
      <c r="I62" t="s">
        <v>15</v>
      </c>
      <c r="J62" t="s">
        <v>138</v>
      </c>
      <c r="K62" t="s">
        <v>33</v>
      </c>
      <c r="L62" t="s">
        <v>1005</v>
      </c>
      <c r="M62" t="s">
        <v>136</v>
      </c>
      <c r="N62" t="s">
        <v>303</v>
      </c>
      <c r="O62" t="s">
        <v>42</v>
      </c>
      <c r="P62" t="s">
        <v>29</v>
      </c>
      <c r="Q62" t="s">
        <v>124</v>
      </c>
      <c r="R62" t="s">
        <v>28</v>
      </c>
      <c r="T62" s="2"/>
      <c r="U62" s="2">
        <v>45940</v>
      </c>
      <c r="V62" s="2">
        <v>45939</v>
      </c>
      <c r="W62" s="1">
        <v>79000</v>
      </c>
      <c r="X62"/>
      <c r="Y62" t="s">
        <v>133</v>
      </c>
      <c r="Z62" t="s">
        <v>5</v>
      </c>
      <c r="AA62" s="2">
        <v>46661</v>
      </c>
      <c r="AB62" s="1">
        <v>0.11</v>
      </c>
      <c r="AC62" s="1">
        <v>0</v>
      </c>
      <c r="AD62" s="1">
        <v>79000</v>
      </c>
      <c r="AE62" s="1">
        <v>0</v>
      </c>
      <c r="AF62" s="1">
        <v>0</v>
      </c>
      <c r="AG62" s="1">
        <v>79526.66</v>
      </c>
      <c r="AH62" s="1">
        <v>0</v>
      </c>
      <c r="AI62" s="1">
        <v>79526.66</v>
      </c>
      <c r="AJ62" s="1"/>
      <c r="AK62">
        <v>0</v>
      </c>
      <c r="AN62" t="s">
        <v>1004</v>
      </c>
      <c r="AO62" t="s">
        <v>1003</v>
      </c>
      <c r="AP62" s="1">
        <v>39500</v>
      </c>
      <c r="AQ62" s="2"/>
      <c r="AS62" s="1">
        <v>40553.440000000002</v>
      </c>
      <c r="AT62" s="3">
        <v>46022</v>
      </c>
      <c r="AU62" s="1"/>
      <c r="AV62" s="1"/>
      <c r="AX62" t="s">
        <v>2</v>
      </c>
      <c r="AY62" s="1">
        <v>0.11</v>
      </c>
      <c r="AZ62" s="1">
        <v>0.11</v>
      </c>
      <c r="BA62" s="1" t="s">
        <v>0</v>
      </c>
      <c r="BB62" t="s">
        <v>23</v>
      </c>
      <c r="BC62" t="s">
        <v>0</v>
      </c>
    </row>
    <row r="63" spans="1:55" x14ac:dyDescent="0.35">
      <c r="A63" t="s">
        <v>1002</v>
      </c>
      <c r="B63">
        <v>75035</v>
      </c>
      <c r="C63" t="s">
        <v>1001</v>
      </c>
      <c r="D63" t="s">
        <v>23</v>
      </c>
      <c r="E63" t="s">
        <v>1000</v>
      </c>
      <c r="F63" t="s">
        <v>153</v>
      </c>
      <c r="G63" t="s">
        <v>17</v>
      </c>
      <c r="H63" t="s">
        <v>181</v>
      </c>
      <c r="I63" t="s">
        <v>15</v>
      </c>
      <c r="J63" t="s">
        <v>999</v>
      </c>
      <c r="K63" t="s">
        <v>179</v>
      </c>
      <c r="L63" t="s">
        <v>998</v>
      </c>
      <c r="M63" t="s">
        <v>997</v>
      </c>
      <c r="N63" t="s">
        <v>996</v>
      </c>
      <c r="O63" t="s">
        <v>646</v>
      </c>
      <c r="P63" t="s">
        <v>29</v>
      </c>
      <c r="Q63" t="s">
        <v>124</v>
      </c>
      <c r="R63" t="s">
        <v>148</v>
      </c>
      <c r="T63" s="2"/>
      <c r="U63" s="2">
        <v>45940</v>
      </c>
      <c r="V63" s="2">
        <v>45761</v>
      </c>
      <c r="W63" s="1">
        <v>20000</v>
      </c>
      <c r="X63"/>
      <c r="Y63" t="s">
        <v>133</v>
      </c>
      <c r="Z63" t="s">
        <v>5</v>
      </c>
      <c r="AA63" s="2"/>
      <c r="AB63" s="1"/>
      <c r="AC63" s="1">
        <v>0</v>
      </c>
      <c r="AD63" s="1">
        <v>20000</v>
      </c>
      <c r="AE63" s="1">
        <v>0</v>
      </c>
      <c r="AF63" s="1">
        <v>0</v>
      </c>
      <c r="AG63" s="1">
        <v>20133.34</v>
      </c>
      <c r="AH63" s="1">
        <v>0</v>
      </c>
      <c r="AI63" s="1">
        <v>20133.34</v>
      </c>
      <c r="AJ63" s="1"/>
      <c r="AK63">
        <v>0</v>
      </c>
      <c r="AN63" t="s">
        <v>995</v>
      </c>
      <c r="AO63" t="s">
        <v>994</v>
      </c>
      <c r="AP63" s="1">
        <v>10000</v>
      </c>
      <c r="AQ63" s="2"/>
      <c r="AS63" s="1">
        <v>10257.32</v>
      </c>
      <c r="AT63" s="3">
        <v>46022</v>
      </c>
      <c r="AU63" s="1"/>
      <c r="AV63" s="1"/>
      <c r="AX63" t="s">
        <v>2</v>
      </c>
      <c r="AY63" s="1">
        <v>0</v>
      </c>
      <c r="AZ63" s="1">
        <v>0</v>
      </c>
      <c r="BA63" s="1" t="s">
        <v>0</v>
      </c>
      <c r="BB63" t="s">
        <v>548</v>
      </c>
      <c r="BC63" t="s">
        <v>0</v>
      </c>
    </row>
    <row r="64" spans="1:55" x14ac:dyDescent="0.35">
      <c r="A64" t="s">
        <v>993</v>
      </c>
      <c r="B64">
        <v>75043</v>
      </c>
      <c r="C64" t="s">
        <v>992</v>
      </c>
      <c r="D64" t="s">
        <v>23</v>
      </c>
      <c r="E64" t="s">
        <v>991</v>
      </c>
      <c r="F64" t="s">
        <v>77</v>
      </c>
      <c r="G64" t="s">
        <v>17</v>
      </c>
      <c r="H64" t="s">
        <v>16</v>
      </c>
      <c r="I64" t="s">
        <v>15</v>
      </c>
      <c r="J64" t="s">
        <v>508</v>
      </c>
      <c r="K64" t="s">
        <v>13</v>
      </c>
      <c r="L64" t="s">
        <v>990</v>
      </c>
      <c r="M64" t="s">
        <v>215</v>
      </c>
      <c r="N64" t="s">
        <v>658</v>
      </c>
      <c r="O64" t="s">
        <v>9</v>
      </c>
      <c r="P64" t="s">
        <v>29</v>
      </c>
      <c r="Q64" t="s">
        <v>124</v>
      </c>
      <c r="R64" t="s">
        <v>148</v>
      </c>
      <c r="T64" s="2"/>
      <c r="U64" s="2">
        <v>45944</v>
      </c>
      <c r="V64" s="2">
        <v>45935</v>
      </c>
      <c r="W64" s="1">
        <v>452830.36</v>
      </c>
      <c r="X64">
        <v>226415.18</v>
      </c>
      <c r="Y64" t="s">
        <v>147</v>
      </c>
      <c r="Z64" t="s">
        <v>5</v>
      </c>
      <c r="AA64" s="2">
        <v>46508</v>
      </c>
      <c r="AB64" s="1">
        <v>226415.18</v>
      </c>
      <c r="AC64" s="1">
        <v>0</v>
      </c>
      <c r="AD64" s="1">
        <v>452830.36</v>
      </c>
      <c r="AE64" s="1">
        <v>0</v>
      </c>
      <c r="AF64" s="1">
        <v>0</v>
      </c>
      <c r="AG64" s="1">
        <v>456603.94</v>
      </c>
      <c r="AH64" s="1">
        <v>0</v>
      </c>
      <c r="AI64" s="1">
        <v>456603.94</v>
      </c>
      <c r="AJ64" s="1"/>
      <c r="AK64">
        <v>0</v>
      </c>
      <c r="AN64" t="s">
        <v>989</v>
      </c>
      <c r="AO64" t="s">
        <v>988</v>
      </c>
      <c r="AP64" s="1">
        <v>226415.18</v>
      </c>
      <c r="AQ64" s="2"/>
      <c r="AS64" s="1">
        <v>469732.36</v>
      </c>
      <c r="AT64" s="3">
        <v>46022</v>
      </c>
      <c r="AU64" s="1"/>
      <c r="AV64" s="1"/>
      <c r="AX64" t="s">
        <v>2</v>
      </c>
      <c r="AY64" s="1">
        <v>236762.36</v>
      </c>
      <c r="AZ64" s="1">
        <v>226415.18</v>
      </c>
      <c r="BA64" s="1" t="s">
        <v>0</v>
      </c>
      <c r="BB64" t="s">
        <v>23</v>
      </c>
      <c r="BC64" t="s">
        <v>0</v>
      </c>
    </row>
    <row r="65" spans="1:55" x14ac:dyDescent="0.35">
      <c r="A65" t="s">
        <v>987</v>
      </c>
      <c r="B65">
        <v>75046</v>
      </c>
      <c r="C65" t="s">
        <v>986</v>
      </c>
      <c r="D65" t="s">
        <v>20</v>
      </c>
      <c r="E65" t="s">
        <v>115</v>
      </c>
      <c r="F65" t="s">
        <v>18</v>
      </c>
      <c r="G65" t="s">
        <v>17</v>
      </c>
      <c r="H65" t="s">
        <v>16</v>
      </c>
      <c r="I65" t="s">
        <v>15</v>
      </c>
      <c r="J65" t="s">
        <v>898</v>
      </c>
      <c r="K65" t="s">
        <v>13</v>
      </c>
      <c r="L65" t="s">
        <v>985</v>
      </c>
      <c r="M65" t="s">
        <v>11</v>
      </c>
      <c r="N65" t="s">
        <v>231</v>
      </c>
      <c r="O65" t="s">
        <v>9</v>
      </c>
      <c r="P65" t="s">
        <v>8</v>
      </c>
      <c r="Q65" t="s">
        <v>8</v>
      </c>
      <c r="R65" t="s">
        <v>7</v>
      </c>
      <c r="T65" s="2"/>
      <c r="U65" s="2">
        <v>45944</v>
      </c>
      <c r="V65" s="2">
        <v>45939</v>
      </c>
      <c r="W65" s="1">
        <v>3175.58</v>
      </c>
      <c r="X65">
        <v>1587.79</v>
      </c>
      <c r="Y65" t="s">
        <v>200</v>
      </c>
      <c r="Z65" t="s">
        <v>5</v>
      </c>
      <c r="AA65" s="2"/>
      <c r="AB65" s="1">
        <v>1587.79</v>
      </c>
      <c r="AC65" s="1">
        <v>3175.58</v>
      </c>
      <c r="AD65" s="1">
        <v>0</v>
      </c>
      <c r="AE65" s="1">
        <v>0</v>
      </c>
      <c r="AF65" s="1">
        <v>3197.8</v>
      </c>
      <c r="AG65" s="1">
        <v>0</v>
      </c>
      <c r="AH65" s="1">
        <v>0</v>
      </c>
      <c r="AI65" s="1">
        <v>3197.8</v>
      </c>
      <c r="AJ65" s="1"/>
      <c r="AK65">
        <v>0</v>
      </c>
      <c r="AP65" s="1">
        <v>1587.79</v>
      </c>
      <c r="AQ65" s="2"/>
      <c r="AS65" s="1">
        <v>3291.99</v>
      </c>
      <c r="AT65" s="3">
        <v>46022</v>
      </c>
      <c r="AU65" s="1"/>
      <c r="AV65" s="1"/>
      <c r="AX65" t="s">
        <v>2</v>
      </c>
      <c r="AY65" s="1">
        <v>1660.35</v>
      </c>
      <c r="AZ65" s="1">
        <v>1587.79</v>
      </c>
      <c r="BA65" s="1" t="s">
        <v>0</v>
      </c>
      <c r="BB65" t="s">
        <v>1</v>
      </c>
      <c r="BC65" t="s">
        <v>0</v>
      </c>
    </row>
    <row r="66" spans="1:55" x14ac:dyDescent="0.35">
      <c r="A66" t="s">
        <v>984</v>
      </c>
      <c r="B66">
        <v>75047</v>
      </c>
      <c r="C66" t="s">
        <v>983</v>
      </c>
      <c r="D66" t="s">
        <v>20</v>
      </c>
      <c r="E66" t="s">
        <v>115</v>
      </c>
      <c r="F66" t="s">
        <v>18</v>
      </c>
      <c r="G66" t="s">
        <v>17</v>
      </c>
      <c r="H66" t="s">
        <v>16</v>
      </c>
      <c r="I66" t="s">
        <v>15</v>
      </c>
      <c r="J66" t="s">
        <v>898</v>
      </c>
      <c r="K66" t="s">
        <v>13</v>
      </c>
      <c r="L66" t="s">
        <v>982</v>
      </c>
      <c r="M66" t="s">
        <v>11</v>
      </c>
      <c r="N66" t="s">
        <v>10</v>
      </c>
      <c r="O66" t="s">
        <v>9</v>
      </c>
      <c r="P66" t="s">
        <v>8</v>
      </c>
      <c r="Q66" t="s">
        <v>8</v>
      </c>
      <c r="R66" t="s">
        <v>7</v>
      </c>
      <c r="T66" s="2"/>
      <c r="U66" s="2">
        <v>45944</v>
      </c>
      <c r="V66" s="2">
        <v>45939</v>
      </c>
      <c r="W66" s="1">
        <v>3175.58</v>
      </c>
      <c r="X66">
        <v>1587.79</v>
      </c>
      <c r="Y66" t="s">
        <v>200</v>
      </c>
      <c r="Z66" t="s">
        <v>5</v>
      </c>
      <c r="AA66" s="2"/>
      <c r="AB66" s="1">
        <v>1587.79</v>
      </c>
      <c r="AC66" s="1">
        <v>3175.58</v>
      </c>
      <c r="AD66" s="1">
        <v>0</v>
      </c>
      <c r="AE66" s="1">
        <v>0</v>
      </c>
      <c r="AF66" s="1">
        <v>3197.8</v>
      </c>
      <c r="AG66" s="1">
        <v>0</v>
      </c>
      <c r="AH66" s="1">
        <v>0</v>
      </c>
      <c r="AI66" s="1">
        <v>3197.8</v>
      </c>
      <c r="AJ66" s="1"/>
      <c r="AK66">
        <v>0</v>
      </c>
      <c r="AP66" s="1">
        <v>1587.79</v>
      </c>
      <c r="AQ66" s="2"/>
      <c r="AS66" s="1">
        <v>3291.99</v>
      </c>
      <c r="AT66" s="3">
        <v>46022</v>
      </c>
      <c r="AU66" s="1"/>
      <c r="AV66" s="1"/>
      <c r="AX66" t="s">
        <v>2</v>
      </c>
      <c r="AY66" s="1">
        <v>1660.35</v>
      </c>
      <c r="AZ66" s="1">
        <v>1587.79</v>
      </c>
      <c r="BA66" s="1" t="s">
        <v>0</v>
      </c>
      <c r="BB66" t="s">
        <v>1</v>
      </c>
      <c r="BC66" t="s">
        <v>0</v>
      </c>
    </row>
    <row r="67" spans="1:55" x14ac:dyDescent="0.35">
      <c r="A67" t="s">
        <v>981</v>
      </c>
      <c r="B67">
        <v>75048</v>
      </c>
      <c r="C67" t="s">
        <v>980</v>
      </c>
      <c r="D67" t="s">
        <v>20</v>
      </c>
      <c r="E67" t="s">
        <v>115</v>
      </c>
      <c r="F67" t="s">
        <v>18</v>
      </c>
      <c r="G67" t="s">
        <v>17</v>
      </c>
      <c r="H67" t="s">
        <v>16</v>
      </c>
      <c r="I67" t="s">
        <v>15</v>
      </c>
      <c r="J67" t="s">
        <v>14</v>
      </c>
      <c r="K67" t="s">
        <v>13</v>
      </c>
      <c r="L67" t="s">
        <v>979</v>
      </c>
      <c r="M67" t="s">
        <v>11</v>
      </c>
      <c r="N67" t="s">
        <v>231</v>
      </c>
      <c r="O67" t="s">
        <v>9</v>
      </c>
      <c r="P67" t="s">
        <v>8</v>
      </c>
      <c r="Q67" t="s">
        <v>8</v>
      </c>
      <c r="R67" t="s">
        <v>7</v>
      </c>
      <c r="T67" s="2"/>
      <c r="U67" s="2">
        <v>45944</v>
      </c>
      <c r="V67" s="2">
        <v>45939</v>
      </c>
      <c r="W67" s="1">
        <v>2523.92</v>
      </c>
      <c r="X67">
        <v>1261.96</v>
      </c>
      <c r="Y67" t="s">
        <v>200</v>
      </c>
      <c r="Z67" t="s">
        <v>5</v>
      </c>
      <c r="AA67" s="2"/>
      <c r="AB67" s="1">
        <v>1261.96</v>
      </c>
      <c r="AC67" s="1">
        <v>2523.92</v>
      </c>
      <c r="AD67" s="1">
        <v>0</v>
      </c>
      <c r="AE67" s="1">
        <v>0</v>
      </c>
      <c r="AF67" s="1">
        <v>2541.58</v>
      </c>
      <c r="AG67" s="1">
        <v>0</v>
      </c>
      <c r="AH67" s="1">
        <v>0</v>
      </c>
      <c r="AI67" s="1">
        <v>2541.58</v>
      </c>
      <c r="AJ67" s="1"/>
      <c r="AK67">
        <v>0</v>
      </c>
      <c r="AP67" s="1">
        <v>1261.96</v>
      </c>
      <c r="AQ67" s="2"/>
      <c r="AS67" s="1">
        <v>2616.44</v>
      </c>
      <c r="AT67" s="3">
        <v>46022</v>
      </c>
      <c r="AU67" s="1"/>
      <c r="AV67" s="1"/>
      <c r="AX67" t="s">
        <v>2</v>
      </c>
      <c r="AY67" s="1">
        <v>1319.63</v>
      </c>
      <c r="AZ67" s="1">
        <v>1261.96</v>
      </c>
      <c r="BA67" s="1" t="s">
        <v>0</v>
      </c>
      <c r="BB67" t="s">
        <v>1</v>
      </c>
      <c r="BC67" t="s">
        <v>0</v>
      </c>
    </row>
    <row r="68" spans="1:55" x14ac:dyDescent="0.35">
      <c r="A68" t="s">
        <v>978</v>
      </c>
      <c r="B68">
        <v>75049</v>
      </c>
      <c r="C68" t="s">
        <v>977</v>
      </c>
      <c r="D68" t="s">
        <v>20</v>
      </c>
      <c r="E68" t="s">
        <v>115</v>
      </c>
      <c r="F68" t="s">
        <v>18</v>
      </c>
      <c r="G68" t="s">
        <v>17</v>
      </c>
      <c r="H68" t="s">
        <v>16</v>
      </c>
      <c r="I68" t="s">
        <v>15</v>
      </c>
      <c r="J68" t="s">
        <v>14</v>
      </c>
      <c r="K68" t="s">
        <v>13</v>
      </c>
      <c r="L68" t="s">
        <v>976</v>
      </c>
      <c r="M68" t="s">
        <v>11</v>
      </c>
      <c r="N68" t="s">
        <v>10</v>
      </c>
      <c r="O68" t="s">
        <v>9</v>
      </c>
      <c r="P68" t="s">
        <v>8</v>
      </c>
      <c r="Q68" t="s">
        <v>8</v>
      </c>
      <c r="R68" t="s">
        <v>7</v>
      </c>
      <c r="T68" s="2"/>
      <c r="U68" s="2">
        <v>45944</v>
      </c>
      <c r="V68" s="2">
        <v>45939</v>
      </c>
      <c r="W68" s="1">
        <v>2523.92</v>
      </c>
      <c r="X68">
        <v>1261.96</v>
      </c>
      <c r="Y68" t="s">
        <v>200</v>
      </c>
      <c r="Z68" t="s">
        <v>5</v>
      </c>
      <c r="AA68" s="2"/>
      <c r="AB68" s="1">
        <v>1261.96</v>
      </c>
      <c r="AC68" s="1">
        <v>2523.92</v>
      </c>
      <c r="AD68" s="1">
        <v>0</v>
      </c>
      <c r="AE68" s="1">
        <v>0</v>
      </c>
      <c r="AF68" s="1">
        <v>2541.58</v>
      </c>
      <c r="AG68" s="1">
        <v>0</v>
      </c>
      <c r="AH68" s="1">
        <v>0</v>
      </c>
      <c r="AI68" s="1">
        <v>2541.58</v>
      </c>
      <c r="AJ68" s="1"/>
      <c r="AK68">
        <v>0</v>
      </c>
      <c r="AP68" s="1">
        <v>1261.96</v>
      </c>
      <c r="AQ68" s="2"/>
      <c r="AS68" s="1">
        <v>2616.44</v>
      </c>
      <c r="AT68" s="3">
        <v>46022</v>
      </c>
      <c r="AU68" s="1"/>
      <c r="AV68" s="1"/>
      <c r="AX68" t="s">
        <v>2</v>
      </c>
      <c r="AY68" s="1">
        <v>1319.63</v>
      </c>
      <c r="AZ68" s="1">
        <v>1261.96</v>
      </c>
      <c r="BA68" s="1" t="s">
        <v>0</v>
      </c>
      <c r="BB68" t="s">
        <v>1</v>
      </c>
      <c r="BC68" t="s">
        <v>0</v>
      </c>
    </row>
    <row r="69" spans="1:55" x14ac:dyDescent="0.35">
      <c r="A69" t="s">
        <v>975</v>
      </c>
      <c r="B69">
        <v>75045</v>
      </c>
      <c r="C69" t="s">
        <v>974</v>
      </c>
      <c r="D69" t="s">
        <v>20</v>
      </c>
      <c r="E69" t="s">
        <v>115</v>
      </c>
      <c r="F69" t="s">
        <v>18</v>
      </c>
      <c r="G69" t="s">
        <v>17</v>
      </c>
      <c r="H69" t="s">
        <v>16</v>
      </c>
      <c r="I69" t="s">
        <v>15</v>
      </c>
      <c r="J69" t="s">
        <v>14</v>
      </c>
      <c r="K69" t="s">
        <v>13</v>
      </c>
      <c r="L69" t="s">
        <v>973</v>
      </c>
      <c r="M69" t="s">
        <v>11</v>
      </c>
      <c r="N69" t="s">
        <v>231</v>
      </c>
      <c r="O69" t="s">
        <v>9</v>
      </c>
      <c r="P69" t="s">
        <v>8</v>
      </c>
      <c r="Q69" t="s">
        <v>8</v>
      </c>
      <c r="R69" t="s">
        <v>7</v>
      </c>
      <c r="T69" s="2"/>
      <c r="U69" s="2">
        <v>45944</v>
      </c>
      <c r="V69" s="2">
        <v>45939</v>
      </c>
      <c r="W69" s="1">
        <v>1916.52</v>
      </c>
      <c r="X69">
        <v>958.26</v>
      </c>
      <c r="Y69" t="s">
        <v>200</v>
      </c>
      <c r="Z69" t="s">
        <v>5</v>
      </c>
      <c r="AA69" s="2"/>
      <c r="AB69" s="1">
        <v>958.26</v>
      </c>
      <c r="AC69" s="1">
        <v>1916.52</v>
      </c>
      <c r="AD69" s="1">
        <v>0</v>
      </c>
      <c r="AE69" s="1">
        <v>0</v>
      </c>
      <c r="AF69" s="1">
        <v>1929.94</v>
      </c>
      <c r="AG69" s="1">
        <v>0</v>
      </c>
      <c r="AH69" s="1">
        <v>0</v>
      </c>
      <c r="AI69" s="1">
        <v>1929.94</v>
      </c>
      <c r="AJ69" s="1"/>
      <c r="AK69">
        <v>0</v>
      </c>
      <c r="AP69" s="1">
        <v>958.26</v>
      </c>
      <c r="AQ69" s="2"/>
      <c r="AS69" s="1">
        <v>1986.78</v>
      </c>
      <c r="AT69" s="3">
        <v>46022</v>
      </c>
      <c r="AU69" s="1"/>
      <c r="AV69" s="1"/>
      <c r="AX69" t="s">
        <v>2</v>
      </c>
      <c r="AY69" s="1">
        <v>1002.05</v>
      </c>
      <c r="AZ69" s="1">
        <v>958.26</v>
      </c>
      <c r="BA69" s="1" t="s">
        <v>0</v>
      </c>
      <c r="BB69" t="s">
        <v>1</v>
      </c>
      <c r="BC69" t="s">
        <v>0</v>
      </c>
    </row>
    <row r="70" spans="1:55" x14ac:dyDescent="0.35">
      <c r="A70" t="s">
        <v>972</v>
      </c>
      <c r="B70">
        <v>75051</v>
      </c>
      <c r="C70" t="s">
        <v>971</v>
      </c>
      <c r="D70" t="s">
        <v>20</v>
      </c>
      <c r="E70" t="s">
        <v>115</v>
      </c>
      <c r="F70" t="s">
        <v>182</v>
      </c>
      <c r="G70" t="s">
        <v>17</v>
      </c>
      <c r="H70" t="s">
        <v>16</v>
      </c>
      <c r="I70" t="s">
        <v>15</v>
      </c>
      <c r="J70" t="s">
        <v>113</v>
      </c>
      <c r="K70" t="s">
        <v>13</v>
      </c>
      <c r="L70" t="s">
        <v>970</v>
      </c>
      <c r="M70" t="s">
        <v>11</v>
      </c>
      <c r="N70" t="s">
        <v>10</v>
      </c>
      <c r="O70" t="s">
        <v>9</v>
      </c>
      <c r="P70" t="s">
        <v>8</v>
      </c>
      <c r="Q70" t="s">
        <v>8</v>
      </c>
      <c r="R70" t="s">
        <v>7</v>
      </c>
      <c r="T70" s="2"/>
      <c r="U70" s="2">
        <v>45945</v>
      </c>
      <c r="V70" s="2">
        <v>45939</v>
      </c>
      <c r="W70" s="1">
        <v>5811.6</v>
      </c>
      <c r="X70">
        <v>2905.8</v>
      </c>
      <c r="Y70" t="s">
        <v>200</v>
      </c>
      <c r="Z70" t="s">
        <v>5</v>
      </c>
      <c r="AA70" s="2"/>
      <c r="AB70" s="1">
        <v>2905.8</v>
      </c>
      <c r="AC70" s="1">
        <v>5811.6</v>
      </c>
      <c r="AD70" s="1">
        <v>0</v>
      </c>
      <c r="AE70" s="1">
        <v>0</v>
      </c>
      <c r="AF70" s="1">
        <v>5852.28</v>
      </c>
      <c r="AG70" s="1">
        <v>0</v>
      </c>
      <c r="AH70" s="1">
        <v>0</v>
      </c>
      <c r="AI70" s="1">
        <v>5852.28</v>
      </c>
      <c r="AJ70" s="1"/>
      <c r="AK70">
        <v>0</v>
      </c>
      <c r="AP70" s="1">
        <v>2905.8</v>
      </c>
      <c r="AQ70" s="2"/>
      <c r="AS70" s="1">
        <v>6024.63</v>
      </c>
      <c r="AT70" s="3">
        <v>46022</v>
      </c>
      <c r="AU70" s="1"/>
      <c r="AV70" s="1"/>
      <c r="AX70" t="s">
        <v>2</v>
      </c>
      <c r="AY70" s="1">
        <v>3038.59</v>
      </c>
      <c r="AZ70" s="1">
        <v>2905.8</v>
      </c>
      <c r="BA70" s="1" t="s">
        <v>0</v>
      </c>
      <c r="BB70" t="s">
        <v>1</v>
      </c>
      <c r="BC70" t="s">
        <v>0</v>
      </c>
    </row>
    <row r="71" spans="1:55" x14ac:dyDescent="0.35">
      <c r="A71" t="s">
        <v>969</v>
      </c>
      <c r="B71">
        <v>75050</v>
      </c>
      <c r="C71" t="s">
        <v>968</v>
      </c>
      <c r="D71" t="s">
        <v>20</v>
      </c>
      <c r="E71" t="s">
        <v>115</v>
      </c>
      <c r="F71" t="s">
        <v>234</v>
      </c>
      <c r="G71" t="s">
        <v>17</v>
      </c>
      <c r="H71" t="s">
        <v>16</v>
      </c>
      <c r="I71" t="s">
        <v>15</v>
      </c>
      <c r="J71" t="s">
        <v>902</v>
      </c>
      <c r="K71" t="s">
        <v>13</v>
      </c>
      <c r="L71" t="s">
        <v>967</v>
      </c>
      <c r="M71" t="s">
        <v>11</v>
      </c>
      <c r="N71" t="s">
        <v>231</v>
      </c>
      <c r="O71" t="s">
        <v>9</v>
      </c>
      <c r="P71" t="s">
        <v>8</v>
      </c>
      <c r="Q71" t="s">
        <v>8</v>
      </c>
      <c r="R71" t="s">
        <v>7</v>
      </c>
      <c r="T71" s="2"/>
      <c r="U71" s="2">
        <v>45945</v>
      </c>
      <c r="V71" s="2">
        <v>45939</v>
      </c>
      <c r="W71" s="1">
        <v>3354.54</v>
      </c>
      <c r="X71">
        <v>1677.27</v>
      </c>
      <c r="Y71" t="s">
        <v>200</v>
      </c>
      <c r="Z71" t="s">
        <v>5</v>
      </c>
      <c r="AA71" s="2"/>
      <c r="AB71" s="1">
        <v>1677.27</v>
      </c>
      <c r="AC71" s="1">
        <v>3354.54</v>
      </c>
      <c r="AD71" s="1">
        <v>0</v>
      </c>
      <c r="AE71" s="1">
        <v>0</v>
      </c>
      <c r="AF71" s="1">
        <v>3378.02</v>
      </c>
      <c r="AG71" s="1">
        <v>0</v>
      </c>
      <c r="AH71" s="1">
        <v>0</v>
      </c>
      <c r="AI71" s="1">
        <v>3378.02</v>
      </c>
      <c r="AJ71" s="1"/>
      <c r="AK71">
        <v>0</v>
      </c>
      <c r="AP71" s="1">
        <v>1677.27</v>
      </c>
      <c r="AQ71" s="2"/>
      <c r="AS71" s="1">
        <v>3477.51</v>
      </c>
      <c r="AT71" s="3">
        <v>46022</v>
      </c>
      <c r="AU71" s="1"/>
      <c r="AV71" s="1"/>
      <c r="AX71" t="s">
        <v>2</v>
      </c>
      <c r="AY71" s="1">
        <v>1753.92</v>
      </c>
      <c r="AZ71" s="1">
        <v>1677.27</v>
      </c>
      <c r="BA71" s="1" t="s">
        <v>0</v>
      </c>
      <c r="BB71" t="s">
        <v>1</v>
      </c>
      <c r="BC71" t="s">
        <v>0</v>
      </c>
    </row>
    <row r="72" spans="1:55" x14ac:dyDescent="0.35">
      <c r="A72" t="s">
        <v>966</v>
      </c>
      <c r="B72">
        <v>75055</v>
      </c>
      <c r="C72" t="s">
        <v>965</v>
      </c>
      <c r="D72" t="s">
        <v>20</v>
      </c>
      <c r="E72" t="s">
        <v>115</v>
      </c>
      <c r="F72" t="s">
        <v>18</v>
      </c>
      <c r="G72" t="s">
        <v>17</v>
      </c>
      <c r="H72" t="s">
        <v>16</v>
      </c>
      <c r="I72" t="s">
        <v>15</v>
      </c>
      <c r="J72" t="s">
        <v>14</v>
      </c>
      <c r="K72" t="s">
        <v>13</v>
      </c>
      <c r="L72" t="s">
        <v>964</v>
      </c>
      <c r="M72" t="s">
        <v>11</v>
      </c>
      <c r="N72" t="s">
        <v>231</v>
      </c>
      <c r="O72" t="s">
        <v>9</v>
      </c>
      <c r="P72" t="s">
        <v>8</v>
      </c>
      <c r="Q72" t="s">
        <v>8</v>
      </c>
      <c r="R72" t="s">
        <v>7</v>
      </c>
      <c r="T72" s="2"/>
      <c r="U72" s="2">
        <v>45945</v>
      </c>
      <c r="V72" s="2">
        <v>45939</v>
      </c>
      <c r="W72" s="1">
        <v>2745.3</v>
      </c>
      <c r="X72">
        <v>1372.65</v>
      </c>
      <c r="Y72" t="s">
        <v>200</v>
      </c>
      <c r="Z72" t="s">
        <v>5</v>
      </c>
      <c r="AA72" s="2"/>
      <c r="AB72" s="1">
        <v>1372.65</v>
      </c>
      <c r="AC72" s="1">
        <v>2745.3</v>
      </c>
      <c r="AD72" s="1">
        <v>0</v>
      </c>
      <c r="AE72" s="1">
        <v>0</v>
      </c>
      <c r="AF72" s="1">
        <v>2764.52</v>
      </c>
      <c r="AG72" s="1">
        <v>0</v>
      </c>
      <c r="AH72" s="1">
        <v>0</v>
      </c>
      <c r="AI72" s="1">
        <v>2764.52</v>
      </c>
      <c r="AJ72" s="1"/>
      <c r="AK72">
        <v>0</v>
      </c>
      <c r="AP72" s="1">
        <v>1372.65</v>
      </c>
      <c r="AQ72" s="2"/>
      <c r="AS72" s="1">
        <v>2845.93</v>
      </c>
      <c r="AT72" s="3">
        <v>46022</v>
      </c>
      <c r="AU72" s="1"/>
      <c r="AV72" s="1"/>
      <c r="AX72" t="s">
        <v>2</v>
      </c>
      <c r="AY72" s="1">
        <v>1435.38</v>
      </c>
      <c r="AZ72" s="1">
        <v>1372.65</v>
      </c>
      <c r="BA72" s="1" t="s">
        <v>0</v>
      </c>
      <c r="BB72" t="s">
        <v>1</v>
      </c>
      <c r="BC72" t="s">
        <v>0</v>
      </c>
    </row>
    <row r="73" spans="1:55" x14ac:dyDescent="0.35">
      <c r="A73" t="s">
        <v>963</v>
      </c>
      <c r="B73">
        <v>75054</v>
      </c>
      <c r="C73" t="s">
        <v>962</v>
      </c>
      <c r="D73" t="s">
        <v>20</v>
      </c>
      <c r="E73" t="s">
        <v>115</v>
      </c>
      <c r="F73" t="s">
        <v>234</v>
      </c>
      <c r="G73" t="s">
        <v>17</v>
      </c>
      <c r="H73" t="s">
        <v>16</v>
      </c>
      <c r="I73" t="s">
        <v>15</v>
      </c>
      <c r="J73" t="s">
        <v>233</v>
      </c>
      <c r="K73" t="s">
        <v>13</v>
      </c>
      <c r="L73" t="s">
        <v>961</v>
      </c>
      <c r="M73" t="s">
        <v>11</v>
      </c>
      <c r="N73" t="s">
        <v>10</v>
      </c>
      <c r="O73" t="s">
        <v>9</v>
      </c>
      <c r="P73" t="s">
        <v>8</v>
      </c>
      <c r="Q73" t="s">
        <v>8</v>
      </c>
      <c r="R73" t="s">
        <v>7</v>
      </c>
      <c r="T73" s="2"/>
      <c r="U73" s="2">
        <v>45945</v>
      </c>
      <c r="V73" s="2">
        <v>45939</v>
      </c>
      <c r="W73" s="1">
        <v>2362.4</v>
      </c>
      <c r="X73">
        <v>1181.2</v>
      </c>
      <c r="Y73" t="s">
        <v>200</v>
      </c>
      <c r="Z73" t="s">
        <v>5</v>
      </c>
      <c r="AA73" s="2"/>
      <c r="AB73" s="1">
        <v>1181.2</v>
      </c>
      <c r="AC73" s="1">
        <v>2362.4</v>
      </c>
      <c r="AD73" s="1">
        <v>0</v>
      </c>
      <c r="AE73" s="1">
        <v>0</v>
      </c>
      <c r="AF73" s="1">
        <v>2378.94</v>
      </c>
      <c r="AG73" s="1">
        <v>0</v>
      </c>
      <c r="AH73" s="1">
        <v>0</v>
      </c>
      <c r="AI73" s="1">
        <v>2378.94</v>
      </c>
      <c r="AJ73" s="1"/>
      <c r="AK73">
        <v>0</v>
      </c>
      <c r="AP73" s="1">
        <v>1181.2</v>
      </c>
      <c r="AQ73" s="2"/>
      <c r="AS73" s="1">
        <v>2449</v>
      </c>
      <c r="AT73" s="3">
        <v>46022</v>
      </c>
      <c r="AU73" s="1"/>
      <c r="AV73" s="1"/>
      <c r="AX73" t="s">
        <v>2</v>
      </c>
      <c r="AY73" s="1">
        <v>1235.18</v>
      </c>
      <c r="AZ73" s="1">
        <v>1181.2</v>
      </c>
      <c r="BA73" s="1" t="s">
        <v>0</v>
      </c>
      <c r="BB73" t="s">
        <v>1</v>
      </c>
      <c r="BC73" t="s">
        <v>0</v>
      </c>
    </row>
    <row r="74" spans="1:55" x14ac:dyDescent="0.35">
      <c r="A74" t="s">
        <v>960</v>
      </c>
      <c r="B74">
        <v>75052</v>
      </c>
      <c r="C74" t="s">
        <v>959</v>
      </c>
      <c r="D74" t="s">
        <v>20</v>
      </c>
      <c r="E74" t="s">
        <v>115</v>
      </c>
      <c r="F74" t="s">
        <v>18</v>
      </c>
      <c r="G74" t="s">
        <v>17</v>
      </c>
      <c r="H74" t="s">
        <v>16</v>
      </c>
      <c r="I74" t="s">
        <v>15</v>
      </c>
      <c r="J74" t="s">
        <v>14</v>
      </c>
      <c r="K74" t="s">
        <v>13</v>
      </c>
      <c r="L74" t="s">
        <v>958</v>
      </c>
      <c r="M74" t="s">
        <v>11</v>
      </c>
      <c r="N74" t="s">
        <v>231</v>
      </c>
      <c r="O74" t="s">
        <v>9</v>
      </c>
      <c r="P74" t="s">
        <v>8</v>
      </c>
      <c r="Q74" t="s">
        <v>8</v>
      </c>
      <c r="R74" t="s">
        <v>7</v>
      </c>
      <c r="T74" s="2"/>
      <c r="U74" s="2">
        <v>45945</v>
      </c>
      <c r="V74" s="2">
        <v>45939</v>
      </c>
      <c r="W74" s="1">
        <v>1847.1</v>
      </c>
      <c r="X74">
        <v>923.55</v>
      </c>
      <c r="Y74" t="s">
        <v>200</v>
      </c>
      <c r="Z74" t="s">
        <v>5</v>
      </c>
      <c r="AA74" s="2"/>
      <c r="AB74" s="1">
        <v>923.55</v>
      </c>
      <c r="AC74" s="1">
        <v>1847.1</v>
      </c>
      <c r="AD74" s="1">
        <v>0</v>
      </c>
      <c r="AE74" s="1">
        <v>0</v>
      </c>
      <c r="AF74" s="1">
        <v>1860.02</v>
      </c>
      <c r="AG74" s="1">
        <v>0</v>
      </c>
      <c r="AH74" s="1">
        <v>0</v>
      </c>
      <c r="AI74" s="1">
        <v>1860.02</v>
      </c>
      <c r="AJ74" s="1"/>
      <c r="AK74">
        <v>0</v>
      </c>
      <c r="AP74" s="1">
        <v>923.55</v>
      </c>
      <c r="AQ74" s="2"/>
      <c r="AS74" s="1">
        <v>1914.81</v>
      </c>
      <c r="AT74" s="3">
        <v>46022</v>
      </c>
      <c r="AU74" s="1"/>
      <c r="AV74" s="1"/>
      <c r="AX74" t="s">
        <v>2</v>
      </c>
      <c r="AY74" s="1">
        <v>965.76</v>
      </c>
      <c r="AZ74" s="1">
        <v>923.55</v>
      </c>
      <c r="BA74" s="1" t="s">
        <v>0</v>
      </c>
      <c r="BB74" t="s">
        <v>1</v>
      </c>
      <c r="BC74" t="s">
        <v>0</v>
      </c>
    </row>
    <row r="75" spans="1:55" x14ac:dyDescent="0.35">
      <c r="A75" t="s">
        <v>957</v>
      </c>
      <c r="B75">
        <v>75053</v>
      </c>
      <c r="C75" t="s">
        <v>956</v>
      </c>
      <c r="D75" t="s">
        <v>20</v>
      </c>
      <c r="E75" t="s">
        <v>115</v>
      </c>
      <c r="F75" t="s">
        <v>18</v>
      </c>
      <c r="G75" t="s">
        <v>17</v>
      </c>
      <c r="H75" t="s">
        <v>16</v>
      </c>
      <c r="I75" t="s">
        <v>15</v>
      </c>
      <c r="J75" t="s">
        <v>898</v>
      </c>
      <c r="K75" t="s">
        <v>13</v>
      </c>
      <c r="L75" t="s">
        <v>955</v>
      </c>
      <c r="M75" t="s">
        <v>11</v>
      </c>
      <c r="N75" t="s">
        <v>231</v>
      </c>
      <c r="O75" t="s">
        <v>9</v>
      </c>
      <c r="P75" t="s">
        <v>8</v>
      </c>
      <c r="Q75" t="s">
        <v>8</v>
      </c>
      <c r="R75" t="s">
        <v>7</v>
      </c>
      <c r="T75" s="2"/>
      <c r="U75" s="2">
        <v>45945</v>
      </c>
      <c r="V75" s="2">
        <v>45939</v>
      </c>
      <c r="W75" s="1">
        <v>2407.5</v>
      </c>
      <c r="X75">
        <v>1203.75</v>
      </c>
      <c r="Y75" t="s">
        <v>200</v>
      </c>
      <c r="Z75" t="s">
        <v>5</v>
      </c>
      <c r="AA75" s="2"/>
      <c r="AB75" s="1">
        <v>1203.75</v>
      </c>
      <c r="AC75" s="1">
        <v>2407.5</v>
      </c>
      <c r="AD75" s="1">
        <v>0</v>
      </c>
      <c r="AE75" s="1">
        <v>0</v>
      </c>
      <c r="AF75" s="1">
        <v>2424.36</v>
      </c>
      <c r="AG75" s="1">
        <v>0</v>
      </c>
      <c r="AH75" s="1">
        <v>0</v>
      </c>
      <c r="AI75" s="1">
        <v>2424.36</v>
      </c>
      <c r="AJ75" s="1"/>
      <c r="AK75">
        <v>0</v>
      </c>
      <c r="AP75" s="1">
        <v>1203.75</v>
      </c>
      <c r="AQ75" s="2"/>
      <c r="AS75" s="1">
        <v>2424.36</v>
      </c>
      <c r="AT75" s="3" t="e">
        <v>#N/A</v>
      </c>
      <c r="AU75" s="1"/>
      <c r="AV75" s="1"/>
      <c r="AX75" t="s">
        <v>954</v>
      </c>
      <c r="AY75" t="s">
        <v>954</v>
      </c>
      <c r="AZ75" s="1"/>
      <c r="BA75" s="1" t="s">
        <v>0</v>
      </c>
      <c r="BB75" t="s">
        <v>1</v>
      </c>
      <c r="BC75" t="s">
        <v>0</v>
      </c>
    </row>
    <row r="76" spans="1:55" x14ac:dyDescent="0.35">
      <c r="A76" t="s">
        <v>953</v>
      </c>
      <c r="B76">
        <v>75065</v>
      </c>
      <c r="C76" t="s">
        <v>952</v>
      </c>
      <c r="D76" t="s">
        <v>20</v>
      </c>
      <c r="E76" t="s">
        <v>115</v>
      </c>
      <c r="F76" t="s">
        <v>18</v>
      </c>
      <c r="G76" t="s">
        <v>17</v>
      </c>
      <c r="H76" t="s">
        <v>16</v>
      </c>
      <c r="I76" t="s">
        <v>15</v>
      </c>
      <c r="J76" t="s">
        <v>898</v>
      </c>
      <c r="K76" t="s">
        <v>13</v>
      </c>
      <c r="L76" t="s">
        <v>951</v>
      </c>
      <c r="M76" t="s">
        <v>11</v>
      </c>
      <c r="N76" t="s">
        <v>231</v>
      </c>
      <c r="O76" t="s">
        <v>9</v>
      </c>
      <c r="P76" t="s">
        <v>8</v>
      </c>
      <c r="Q76" t="s">
        <v>8</v>
      </c>
      <c r="R76" t="s">
        <v>7</v>
      </c>
      <c r="T76" s="2"/>
      <c r="U76" s="2">
        <v>45947</v>
      </c>
      <c r="V76" s="2">
        <v>45939</v>
      </c>
      <c r="W76" s="1">
        <v>3175.58</v>
      </c>
      <c r="X76">
        <v>1587.79</v>
      </c>
      <c r="Y76" t="s">
        <v>200</v>
      </c>
      <c r="Z76" t="s">
        <v>5</v>
      </c>
      <c r="AA76" s="2"/>
      <c r="AB76" s="1">
        <v>1587.79</v>
      </c>
      <c r="AC76" s="1">
        <v>3175.58</v>
      </c>
      <c r="AD76" s="1">
        <v>0</v>
      </c>
      <c r="AE76" s="1">
        <v>0</v>
      </c>
      <c r="AF76" s="1">
        <v>3197.8</v>
      </c>
      <c r="AG76" s="1">
        <v>0</v>
      </c>
      <c r="AH76" s="1">
        <v>0</v>
      </c>
      <c r="AI76" s="1">
        <v>3197.8</v>
      </c>
      <c r="AJ76" s="1"/>
      <c r="AK76">
        <v>0</v>
      </c>
      <c r="AP76" s="1">
        <v>1587.79</v>
      </c>
      <c r="AQ76" s="2"/>
      <c r="AS76" s="1">
        <v>3291.99</v>
      </c>
      <c r="AT76" s="3">
        <v>46022</v>
      </c>
      <c r="AU76" s="1"/>
      <c r="AV76" s="1"/>
      <c r="AX76" t="s">
        <v>2</v>
      </c>
      <c r="AY76" s="1">
        <v>1660.35</v>
      </c>
      <c r="AZ76" s="1">
        <v>1587.79</v>
      </c>
      <c r="BA76" s="1" t="s">
        <v>0</v>
      </c>
      <c r="BB76" t="s">
        <v>1</v>
      </c>
      <c r="BC76" t="s">
        <v>0</v>
      </c>
    </row>
    <row r="77" spans="1:55" x14ac:dyDescent="0.35">
      <c r="A77" t="s">
        <v>950</v>
      </c>
      <c r="B77">
        <v>75066</v>
      </c>
      <c r="C77" t="s">
        <v>949</v>
      </c>
      <c r="D77" t="s">
        <v>20</v>
      </c>
      <c r="E77" t="s">
        <v>115</v>
      </c>
      <c r="F77" t="s">
        <v>18</v>
      </c>
      <c r="G77" t="s">
        <v>17</v>
      </c>
      <c r="H77" t="s">
        <v>16</v>
      </c>
      <c r="I77" t="s">
        <v>15</v>
      </c>
      <c r="J77" t="s">
        <v>898</v>
      </c>
      <c r="K77" t="s">
        <v>13</v>
      </c>
      <c r="L77" t="s">
        <v>948</v>
      </c>
      <c r="M77" t="s">
        <v>11</v>
      </c>
      <c r="N77" t="s">
        <v>231</v>
      </c>
      <c r="O77" t="s">
        <v>9</v>
      </c>
      <c r="P77" t="s">
        <v>8</v>
      </c>
      <c r="Q77" t="s">
        <v>8</v>
      </c>
      <c r="R77" t="s">
        <v>7</v>
      </c>
      <c r="T77" s="2"/>
      <c r="U77" s="2">
        <v>45947</v>
      </c>
      <c r="V77" s="2">
        <v>45939</v>
      </c>
      <c r="W77" s="1">
        <v>3175.58</v>
      </c>
      <c r="X77">
        <v>1587.79</v>
      </c>
      <c r="Y77" t="s">
        <v>200</v>
      </c>
      <c r="Z77" t="s">
        <v>5</v>
      </c>
      <c r="AA77" s="2"/>
      <c r="AB77" s="1">
        <v>1587.79</v>
      </c>
      <c r="AC77" s="1">
        <v>3175.58</v>
      </c>
      <c r="AD77" s="1">
        <v>0</v>
      </c>
      <c r="AE77" s="1">
        <v>0</v>
      </c>
      <c r="AF77" s="1">
        <v>3197.8</v>
      </c>
      <c r="AG77" s="1">
        <v>0</v>
      </c>
      <c r="AH77" s="1">
        <v>0</v>
      </c>
      <c r="AI77" s="1">
        <v>3197.8</v>
      </c>
      <c r="AJ77" s="1"/>
      <c r="AK77">
        <v>0</v>
      </c>
      <c r="AP77" s="1">
        <v>1587.79</v>
      </c>
      <c r="AQ77" s="2"/>
      <c r="AS77" s="1">
        <v>3291.99</v>
      </c>
      <c r="AT77" s="3">
        <v>46022</v>
      </c>
      <c r="AU77" s="1"/>
      <c r="AV77" s="1"/>
      <c r="AX77" t="s">
        <v>2</v>
      </c>
      <c r="AY77" s="1">
        <v>1660.35</v>
      </c>
      <c r="AZ77" s="1">
        <v>1587.79</v>
      </c>
      <c r="BA77" s="1" t="s">
        <v>0</v>
      </c>
      <c r="BB77" t="s">
        <v>1</v>
      </c>
      <c r="BC77" t="s">
        <v>0</v>
      </c>
    </row>
    <row r="78" spans="1:55" x14ac:dyDescent="0.35">
      <c r="A78" t="s">
        <v>947</v>
      </c>
      <c r="B78">
        <v>75068</v>
      </c>
      <c r="C78" t="s">
        <v>946</v>
      </c>
      <c r="D78" t="s">
        <v>20</v>
      </c>
      <c r="E78" t="s">
        <v>115</v>
      </c>
      <c r="F78" t="s">
        <v>18</v>
      </c>
      <c r="G78" t="s">
        <v>17</v>
      </c>
      <c r="H78" t="s">
        <v>16</v>
      </c>
      <c r="I78" t="s">
        <v>15</v>
      </c>
      <c r="J78" t="s">
        <v>898</v>
      </c>
      <c r="K78" t="s">
        <v>13</v>
      </c>
      <c r="L78" t="s">
        <v>945</v>
      </c>
      <c r="M78" t="s">
        <v>11</v>
      </c>
      <c r="N78" t="s">
        <v>10</v>
      </c>
      <c r="O78" t="s">
        <v>9</v>
      </c>
      <c r="P78" t="s">
        <v>8</v>
      </c>
      <c r="Q78" t="s">
        <v>8</v>
      </c>
      <c r="R78" t="s">
        <v>7</v>
      </c>
      <c r="T78" s="2"/>
      <c r="U78" s="2">
        <v>45947</v>
      </c>
      <c r="V78" s="2">
        <v>45939</v>
      </c>
      <c r="W78" s="1">
        <v>3175.58</v>
      </c>
      <c r="X78">
        <v>1587.79</v>
      </c>
      <c r="Y78" t="s">
        <v>200</v>
      </c>
      <c r="Z78" t="s">
        <v>5</v>
      </c>
      <c r="AA78" s="2"/>
      <c r="AB78" s="1">
        <v>1587.79</v>
      </c>
      <c r="AC78" s="1">
        <v>3175.58</v>
      </c>
      <c r="AD78" s="1">
        <v>0</v>
      </c>
      <c r="AE78" s="1">
        <v>0</v>
      </c>
      <c r="AF78" s="1">
        <v>3197.8</v>
      </c>
      <c r="AG78" s="1">
        <v>0</v>
      </c>
      <c r="AH78" s="1">
        <v>0</v>
      </c>
      <c r="AI78" s="1">
        <v>3197.8</v>
      </c>
      <c r="AJ78" s="1"/>
      <c r="AK78">
        <v>0</v>
      </c>
      <c r="AP78" s="1">
        <v>1587.79</v>
      </c>
      <c r="AQ78" s="2"/>
      <c r="AS78" s="1">
        <v>3291.99</v>
      </c>
      <c r="AT78" s="3">
        <v>46022</v>
      </c>
      <c r="AU78" s="1"/>
      <c r="AV78" s="1"/>
      <c r="AX78" t="s">
        <v>2</v>
      </c>
      <c r="AY78" s="1">
        <v>1660.35</v>
      </c>
      <c r="AZ78" s="1">
        <v>1587.79</v>
      </c>
      <c r="BA78" s="1" t="s">
        <v>0</v>
      </c>
      <c r="BB78" t="s">
        <v>1</v>
      </c>
      <c r="BC78" t="s">
        <v>0</v>
      </c>
    </row>
    <row r="79" spans="1:55" x14ac:dyDescent="0.35">
      <c r="A79" t="s">
        <v>944</v>
      </c>
      <c r="B79">
        <v>75064</v>
      </c>
      <c r="C79" t="s">
        <v>943</v>
      </c>
      <c r="D79" t="s">
        <v>20</v>
      </c>
      <c r="E79" t="s">
        <v>115</v>
      </c>
      <c r="F79" t="s">
        <v>18</v>
      </c>
      <c r="G79" t="s">
        <v>17</v>
      </c>
      <c r="H79" t="s">
        <v>16</v>
      </c>
      <c r="I79" t="s">
        <v>15</v>
      </c>
      <c r="J79" t="s">
        <v>14</v>
      </c>
      <c r="K79" t="s">
        <v>13</v>
      </c>
      <c r="L79" t="s">
        <v>942</v>
      </c>
      <c r="M79" t="s">
        <v>11</v>
      </c>
      <c r="N79" t="s">
        <v>10</v>
      </c>
      <c r="O79" t="s">
        <v>9</v>
      </c>
      <c r="P79" t="s">
        <v>8</v>
      </c>
      <c r="Q79" t="s">
        <v>8</v>
      </c>
      <c r="R79" t="s">
        <v>7</v>
      </c>
      <c r="T79" s="2"/>
      <c r="U79" s="2">
        <v>45947</v>
      </c>
      <c r="V79" s="2">
        <v>45939</v>
      </c>
      <c r="W79" s="1">
        <v>2523.92</v>
      </c>
      <c r="X79">
        <v>1261.96</v>
      </c>
      <c r="Y79" t="s">
        <v>200</v>
      </c>
      <c r="Z79" t="s">
        <v>5</v>
      </c>
      <c r="AA79" s="2"/>
      <c r="AB79" s="1">
        <v>1261.96</v>
      </c>
      <c r="AC79" s="1">
        <v>2523.92</v>
      </c>
      <c r="AD79" s="1">
        <v>0</v>
      </c>
      <c r="AE79" s="1">
        <v>0</v>
      </c>
      <c r="AF79" s="1">
        <v>2541.58</v>
      </c>
      <c r="AG79" s="1">
        <v>0</v>
      </c>
      <c r="AH79" s="1">
        <v>0</v>
      </c>
      <c r="AI79" s="1">
        <v>2541.58</v>
      </c>
      <c r="AJ79" s="1"/>
      <c r="AK79">
        <v>0</v>
      </c>
      <c r="AP79" s="1">
        <v>1261.96</v>
      </c>
      <c r="AQ79" s="2"/>
      <c r="AS79" s="1">
        <v>2616.44</v>
      </c>
      <c r="AT79" s="3">
        <v>46022</v>
      </c>
      <c r="AU79" s="1"/>
      <c r="AV79" s="1"/>
      <c r="AX79" t="s">
        <v>2</v>
      </c>
      <c r="AY79" s="1">
        <v>1319.63</v>
      </c>
      <c r="AZ79" s="1">
        <v>1261.96</v>
      </c>
      <c r="BA79" s="1" t="s">
        <v>0</v>
      </c>
      <c r="BB79" t="s">
        <v>1</v>
      </c>
      <c r="BC79" t="s">
        <v>0</v>
      </c>
    </row>
    <row r="80" spans="1:55" x14ac:dyDescent="0.35">
      <c r="A80" t="s">
        <v>941</v>
      </c>
      <c r="B80">
        <v>75069</v>
      </c>
      <c r="C80" t="s">
        <v>940</v>
      </c>
      <c r="D80" t="s">
        <v>20</v>
      </c>
      <c r="E80" t="s">
        <v>115</v>
      </c>
      <c r="F80" t="s">
        <v>18</v>
      </c>
      <c r="G80" t="s">
        <v>17</v>
      </c>
      <c r="H80" t="s">
        <v>16</v>
      </c>
      <c r="I80" t="s">
        <v>15</v>
      </c>
      <c r="J80" t="s">
        <v>14</v>
      </c>
      <c r="K80" t="s">
        <v>13</v>
      </c>
      <c r="L80" t="s">
        <v>939</v>
      </c>
      <c r="M80" t="s">
        <v>11</v>
      </c>
      <c r="N80" t="s">
        <v>231</v>
      </c>
      <c r="O80" t="s">
        <v>9</v>
      </c>
      <c r="P80" t="s">
        <v>8</v>
      </c>
      <c r="Q80" t="s">
        <v>8</v>
      </c>
      <c r="R80" t="s">
        <v>7</v>
      </c>
      <c r="T80" s="2"/>
      <c r="U80" s="2">
        <v>45947</v>
      </c>
      <c r="V80" s="2">
        <v>45939</v>
      </c>
      <c r="W80" s="1">
        <v>2523.92</v>
      </c>
      <c r="X80">
        <v>1261.96</v>
      </c>
      <c r="Y80" t="s">
        <v>200</v>
      </c>
      <c r="Z80" t="s">
        <v>5</v>
      </c>
      <c r="AA80" s="2"/>
      <c r="AB80" s="1">
        <v>1261.96</v>
      </c>
      <c r="AC80" s="1">
        <v>2523.92</v>
      </c>
      <c r="AD80" s="1">
        <v>0</v>
      </c>
      <c r="AE80" s="1">
        <v>0</v>
      </c>
      <c r="AF80" s="1">
        <v>2541.58</v>
      </c>
      <c r="AG80" s="1">
        <v>0</v>
      </c>
      <c r="AH80" s="1">
        <v>0</v>
      </c>
      <c r="AI80" s="1">
        <v>2541.58</v>
      </c>
      <c r="AJ80" s="1"/>
      <c r="AK80">
        <v>0</v>
      </c>
      <c r="AP80" s="1">
        <v>1261.96</v>
      </c>
      <c r="AQ80" s="2"/>
      <c r="AS80" s="1">
        <v>2616.44</v>
      </c>
      <c r="AT80" s="3">
        <v>46022</v>
      </c>
      <c r="AU80" s="1"/>
      <c r="AV80" s="1"/>
      <c r="AX80" t="s">
        <v>2</v>
      </c>
      <c r="AY80" s="1">
        <v>1319.63</v>
      </c>
      <c r="AZ80" s="1">
        <v>1261.96</v>
      </c>
      <c r="BA80" s="1" t="s">
        <v>0</v>
      </c>
      <c r="BB80" t="s">
        <v>1</v>
      </c>
      <c r="BC80" t="s">
        <v>0</v>
      </c>
    </row>
    <row r="81" spans="1:55" x14ac:dyDescent="0.35">
      <c r="A81" t="s">
        <v>938</v>
      </c>
      <c r="B81">
        <v>75067</v>
      </c>
      <c r="C81" t="s">
        <v>937</v>
      </c>
      <c r="D81" t="s">
        <v>20</v>
      </c>
      <c r="E81" t="s">
        <v>115</v>
      </c>
      <c r="F81" t="s">
        <v>18</v>
      </c>
      <c r="G81" t="s">
        <v>17</v>
      </c>
      <c r="H81" t="s">
        <v>16</v>
      </c>
      <c r="I81" t="s">
        <v>15</v>
      </c>
      <c r="J81" t="s">
        <v>936</v>
      </c>
      <c r="K81" t="s">
        <v>13</v>
      </c>
      <c r="L81" t="s">
        <v>935</v>
      </c>
      <c r="M81" t="s">
        <v>11</v>
      </c>
      <c r="N81" t="s">
        <v>231</v>
      </c>
      <c r="O81" t="s">
        <v>9</v>
      </c>
      <c r="P81" t="s">
        <v>8</v>
      </c>
      <c r="Q81" t="s">
        <v>8</v>
      </c>
      <c r="R81" t="s">
        <v>7</v>
      </c>
      <c r="T81" s="2"/>
      <c r="U81" s="2">
        <v>45947</v>
      </c>
      <c r="V81" s="2">
        <v>45939</v>
      </c>
      <c r="W81" s="1">
        <v>1916.52</v>
      </c>
      <c r="X81">
        <v>958.26</v>
      </c>
      <c r="Y81" t="s">
        <v>200</v>
      </c>
      <c r="Z81" t="s">
        <v>5</v>
      </c>
      <c r="AA81" s="2"/>
      <c r="AB81" s="1">
        <v>958.26</v>
      </c>
      <c r="AC81" s="1">
        <v>1916.52</v>
      </c>
      <c r="AD81" s="1">
        <v>0</v>
      </c>
      <c r="AE81" s="1">
        <v>0</v>
      </c>
      <c r="AF81" s="1">
        <v>1929.94</v>
      </c>
      <c r="AG81" s="1">
        <v>0</v>
      </c>
      <c r="AH81" s="1">
        <v>0</v>
      </c>
      <c r="AI81" s="1">
        <v>1929.94</v>
      </c>
      <c r="AJ81" s="1"/>
      <c r="AK81">
        <v>0</v>
      </c>
      <c r="AP81" s="1">
        <v>958.26</v>
      </c>
      <c r="AQ81" s="2"/>
      <c r="AS81" s="1">
        <v>1986.78</v>
      </c>
      <c r="AT81" s="3">
        <v>46022</v>
      </c>
      <c r="AU81" s="1"/>
      <c r="AV81" s="1"/>
      <c r="AX81" t="s">
        <v>2</v>
      </c>
      <c r="AY81" s="1">
        <v>1002.05</v>
      </c>
      <c r="AZ81" s="1">
        <v>958.26</v>
      </c>
      <c r="BA81" s="1" t="s">
        <v>0</v>
      </c>
      <c r="BB81" t="s">
        <v>1</v>
      </c>
      <c r="BC81" t="s">
        <v>0</v>
      </c>
    </row>
    <row r="82" spans="1:55" x14ac:dyDescent="0.35">
      <c r="A82" t="s">
        <v>934</v>
      </c>
      <c r="B82">
        <v>75060</v>
      </c>
      <c r="C82" t="s">
        <v>933</v>
      </c>
      <c r="D82" t="s">
        <v>23</v>
      </c>
      <c r="E82" t="s">
        <v>932</v>
      </c>
      <c r="F82" t="s">
        <v>336</v>
      </c>
      <c r="G82" t="s">
        <v>17</v>
      </c>
      <c r="H82" t="s">
        <v>205</v>
      </c>
      <c r="I82" t="s">
        <v>15</v>
      </c>
      <c r="J82" t="s">
        <v>931</v>
      </c>
      <c r="K82" t="s">
        <v>179</v>
      </c>
      <c r="L82" t="s">
        <v>930</v>
      </c>
      <c r="M82" t="s">
        <v>929</v>
      </c>
      <c r="N82" t="s">
        <v>928</v>
      </c>
      <c r="O82" t="s">
        <v>175</v>
      </c>
      <c r="P82" t="s">
        <v>29</v>
      </c>
      <c r="Q82" t="s">
        <v>124</v>
      </c>
      <c r="R82" t="s">
        <v>927</v>
      </c>
      <c r="T82" s="2"/>
      <c r="U82" s="2">
        <v>45947</v>
      </c>
      <c r="V82" s="2">
        <v>45939</v>
      </c>
      <c r="W82" s="1">
        <v>8572032</v>
      </c>
      <c r="X82">
        <v>4286016</v>
      </c>
      <c r="Y82" t="s">
        <v>200</v>
      </c>
      <c r="Z82" t="s">
        <v>5</v>
      </c>
      <c r="AA82" s="2">
        <v>46997</v>
      </c>
      <c r="AB82" s="1">
        <v>0</v>
      </c>
      <c r="AC82" s="1">
        <v>0</v>
      </c>
      <c r="AD82" s="1">
        <v>8572032</v>
      </c>
      <c r="AE82" s="1">
        <v>0</v>
      </c>
      <c r="AF82" s="1">
        <v>0</v>
      </c>
      <c r="AG82" s="1">
        <v>8632036.2200000007</v>
      </c>
      <c r="AH82" s="1">
        <v>0</v>
      </c>
      <c r="AI82" s="1">
        <v>8632036.2200000007</v>
      </c>
      <c r="AJ82" s="1"/>
      <c r="AK82">
        <v>0</v>
      </c>
      <c r="AN82" t="s">
        <v>926</v>
      </c>
      <c r="AO82" t="s">
        <v>925</v>
      </c>
      <c r="AP82" s="1">
        <v>4286016</v>
      </c>
      <c r="AQ82" s="2"/>
      <c r="AS82" s="1">
        <v>4404379.91</v>
      </c>
      <c r="AT82" s="3">
        <v>46022</v>
      </c>
      <c r="AU82" s="1"/>
      <c r="AV82" s="1"/>
      <c r="AX82" t="s">
        <v>2</v>
      </c>
      <c r="AY82" s="1">
        <v>0.03</v>
      </c>
      <c r="AZ82" s="1">
        <v>0.03</v>
      </c>
      <c r="BA82" s="1" t="s">
        <v>0</v>
      </c>
      <c r="BB82" t="s">
        <v>23</v>
      </c>
      <c r="BC82" t="s">
        <v>0</v>
      </c>
    </row>
    <row r="83" spans="1:55" x14ac:dyDescent="0.35">
      <c r="A83" t="s">
        <v>924</v>
      </c>
      <c r="B83">
        <v>75061</v>
      </c>
      <c r="C83" t="s">
        <v>923</v>
      </c>
      <c r="D83" t="s">
        <v>20</v>
      </c>
      <c r="E83" t="s">
        <v>789</v>
      </c>
      <c r="F83" t="s">
        <v>182</v>
      </c>
      <c r="G83" t="s">
        <v>17</v>
      </c>
      <c r="H83" t="s">
        <v>181</v>
      </c>
      <c r="I83" t="s">
        <v>15</v>
      </c>
      <c r="J83" t="s">
        <v>180</v>
      </c>
      <c r="K83" t="s">
        <v>179</v>
      </c>
      <c r="L83" t="s">
        <v>787</v>
      </c>
      <c r="M83" t="s">
        <v>11</v>
      </c>
      <c r="N83" t="s">
        <v>786</v>
      </c>
      <c r="O83" t="s">
        <v>449</v>
      </c>
      <c r="P83" t="s">
        <v>8</v>
      </c>
      <c r="Q83" t="s">
        <v>8</v>
      </c>
      <c r="R83" t="s">
        <v>7</v>
      </c>
      <c r="T83" s="2"/>
      <c r="U83" s="2">
        <v>45947</v>
      </c>
      <c r="V83" s="2">
        <v>45939</v>
      </c>
      <c r="W83" s="1">
        <v>3248.34</v>
      </c>
      <c r="X83">
        <v>1624.17</v>
      </c>
      <c r="Y83" t="s">
        <v>200</v>
      </c>
      <c r="Z83" t="s">
        <v>5</v>
      </c>
      <c r="AA83" s="2"/>
      <c r="AB83" s="1">
        <v>1624.17</v>
      </c>
      <c r="AC83" s="1">
        <v>3248.34</v>
      </c>
      <c r="AD83" s="1">
        <v>0</v>
      </c>
      <c r="AE83" s="1">
        <v>0</v>
      </c>
      <c r="AF83" s="1">
        <v>3271.08</v>
      </c>
      <c r="AG83" s="1">
        <v>0</v>
      </c>
      <c r="AH83" s="1">
        <v>0</v>
      </c>
      <c r="AI83" s="1">
        <v>3271.08</v>
      </c>
      <c r="AJ83" s="1"/>
      <c r="AK83">
        <v>0</v>
      </c>
      <c r="AN83" t="s">
        <v>785</v>
      </c>
      <c r="AO83" t="s">
        <v>784</v>
      </c>
      <c r="AP83" s="1">
        <v>1624.17</v>
      </c>
      <c r="AQ83" s="2"/>
      <c r="AS83" s="1">
        <v>3357.92</v>
      </c>
      <c r="AT83" s="3">
        <v>45991</v>
      </c>
      <c r="AU83" s="1"/>
      <c r="AV83" s="1"/>
      <c r="AX83" t="s">
        <v>2</v>
      </c>
      <c r="AY83" s="4">
        <v>1672.92</v>
      </c>
      <c r="AZ83" s="1"/>
      <c r="BA83" s="1" t="s">
        <v>0</v>
      </c>
      <c r="BB83" t="s">
        <v>1</v>
      </c>
      <c r="BC83" t="s">
        <v>0</v>
      </c>
    </row>
    <row r="84" spans="1:55" x14ac:dyDescent="0.35">
      <c r="A84" t="s">
        <v>922</v>
      </c>
      <c r="B84">
        <v>75062</v>
      </c>
      <c r="C84" t="s">
        <v>921</v>
      </c>
      <c r="D84" t="s">
        <v>20</v>
      </c>
      <c r="E84" t="s">
        <v>789</v>
      </c>
      <c r="F84" t="s">
        <v>182</v>
      </c>
      <c r="G84" t="s">
        <v>17</v>
      </c>
      <c r="H84" t="s">
        <v>181</v>
      </c>
      <c r="I84" t="s">
        <v>15</v>
      </c>
      <c r="J84" t="s">
        <v>180</v>
      </c>
      <c r="K84" t="s">
        <v>179</v>
      </c>
      <c r="L84" t="s">
        <v>787</v>
      </c>
      <c r="M84" t="s">
        <v>11</v>
      </c>
      <c r="N84" t="s">
        <v>786</v>
      </c>
      <c r="O84" t="s">
        <v>449</v>
      </c>
      <c r="P84" t="s">
        <v>8</v>
      </c>
      <c r="Q84" t="s">
        <v>8</v>
      </c>
      <c r="R84" t="s">
        <v>7</v>
      </c>
      <c r="T84" s="2"/>
      <c r="U84" s="2">
        <v>45947</v>
      </c>
      <c r="V84" s="2">
        <v>45939</v>
      </c>
      <c r="W84" s="1">
        <v>190.38</v>
      </c>
      <c r="X84">
        <v>95.19</v>
      </c>
      <c r="Y84" t="s">
        <v>200</v>
      </c>
      <c r="Z84" t="s">
        <v>5</v>
      </c>
      <c r="AA84" s="2"/>
      <c r="AB84" s="1">
        <v>95.19</v>
      </c>
      <c r="AC84" s="1">
        <v>190.38</v>
      </c>
      <c r="AD84" s="1">
        <v>0</v>
      </c>
      <c r="AE84" s="1">
        <v>0</v>
      </c>
      <c r="AF84" s="1">
        <v>191.72</v>
      </c>
      <c r="AG84" s="1">
        <v>0</v>
      </c>
      <c r="AH84" s="1">
        <v>0</v>
      </c>
      <c r="AI84" s="1">
        <v>191.72</v>
      </c>
      <c r="AJ84" s="1"/>
      <c r="AK84">
        <v>0</v>
      </c>
      <c r="AN84" t="s">
        <v>785</v>
      </c>
      <c r="AO84" t="s">
        <v>784</v>
      </c>
      <c r="AP84" s="1">
        <v>95.19</v>
      </c>
      <c r="AQ84" s="2"/>
      <c r="AS84" s="1">
        <v>202.72</v>
      </c>
      <c r="AT84" s="3">
        <v>46022</v>
      </c>
      <c r="AU84" s="1"/>
      <c r="AV84" s="1"/>
      <c r="AX84" t="s">
        <v>2</v>
      </c>
      <c r="AY84" s="4">
        <v>101.64</v>
      </c>
      <c r="AZ84" s="1"/>
      <c r="BA84" s="1" t="s">
        <v>0</v>
      </c>
      <c r="BB84" t="s">
        <v>1</v>
      </c>
      <c r="BC84" t="s">
        <v>0</v>
      </c>
    </row>
    <row r="85" spans="1:55" x14ac:dyDescent="0.35">
      <c r="A85" t="s">
        <v>920</v>
      </c>
      <c r="B85">
        <v>75063</v>
      </c>
      <c r="C85" t="s">
        <v>919</v>
      </c>
      <c r="D85" t="s">
        <v>20</v>
      </c>
      <c r="E85" t="s">
        <v>789</v>
      </c>
      <c r="F85" t="s">
        <v>182</v>
      </c>
      <c r="G85" t="s">
        <v>17</v>
      </c>
      <c r="H85" t="s">
        <v>181</v>
      </c>
      <c r="I85" t="s">
        <v>15</v>
      </c>
      <c r="J85" t="s">
        <v>180</v>
      </c>
      <c r="K85" t="s">
        <v>179</v>
      </c>
      <c r="L85" t="s">
        <v>787</v>
      </c>
      <c r="M85" t="s">
        <v>11</v>
      </c>
      <c r="N85" t="s">
        <v>786</v>
      </c>
      <c r="O85" t="s">
        <v>449</v>
      </c>
      <c r="P85" t="s">
        <v>8</v>
      </c>
      <c r="Q85" t="s">
        <v>8</v>
      </c>
      <c r="R85" t="s">
        <v>7</v>
      </c>
      <c r="T85" s="2"/>
      <c r="U85" s="2">
        <v>45947</v>
      </c>
      <c r="V85" s="2">
        <v>45939</v>
      </c>
      <c r="W85" s="1">
        <v>2397.1799999999998</v>
      </c>
      <c r="X85">
        <v>1198.5899999999999</v>
      </c>
      <c r="Y85" t="s">
        <v>200</v>
      </c>
      <c r="Z85" t="s">
        <v>5</v>
      </c>
      <c r="AA85" s="2"/>
      <c r="AB85" s="1">
        <v>1198.5899999999999</v>
      </c>
      <c r="AC85" s="1">
        <v>2397.1799999999998</v>
      </c>
      <c r="AD85" s="1">
        <v>0</v>
      </c>
      <c r="AE85" s="1">
        <v>0</v>
      </c>
      <c r="AF85" s="1">
        <v>2413.96</v>
      </c>
      <c r="AG85" s="1">
        <v>0</v>
      </c>
      <c r="AH85" s="1">
        <v>0</v>
      </c>
      <c r="AI85" s="1">
        <v>2413.96</v>
      </c>
      <c r="AJ85" s="1"/>
      <c r="AK85">
        <v>0</v>
      </c>
      <c r="AN85" t="s">
        <v>785</v>
      </c>
      <c r="AO85" t="s">
        <v>784</v>
      </c>
      <c r="AP85" s="1">
        <v>1198.5899999999999</v>
      </c>
      <c r="AQ85" s="2"/>
      <c r="AS85" s="1">
        <v>2478.04</v>
      </c>
      <c r="AT85" s="3">
        <v>45991</v>
      </c>
      <c r="AU85" s="1"/>
      <c r="AV85" s="1"/>
      <c r="AX85" t="s">
        <v>2</v>
      </c>
      <c r="AY85" s="4">
        <v>1234.57</v>
      </c>
      <c r="AZ85" s="1"/>
      <c r="BA85" s="1" t="s">
        <v>0</v>
      </c>
      <c r="BB85" t="s">
        <v>1</v>
      </c>
      <c r="BC85" t="s">
        <v>0</v>
      </c>
    </row>
    <row r="86" spans="1:55" x14ac:dyDescent="0.35">
      <c r="A86" t="s">
        <v>918</v>
      </c>
      <c r="B86">
        <v>75076</v>
      </c>
      <c r="C86" t="s">
        <v>917</v>
      </c>
      <c r="D86" t="s">
        <v>20</v>
      </c>
      <c r="E86" t="s">
        <v>907</v>
      </c>
      <c r="F86" t="s">
        <v>18</v>
      </c>
      <c r="G86" t="s">
        <v>17</v>
      </c>
      <c r="H86" t="s">
        <v>16</v>
      </c>
      <c r="I86" t="s">
        <v>15</v>
      </c>
      <c r="J86" t="s">
        <v>545</v>
      </c>
      <c r="K86" t="s">
        <v>179</v>
      </c>
      <c r="L86" t="s">
        <v>916</v>
      </c>
      <c r="M86" t="s">
        <v>11</v>
      </c>
      <c r="N86" t="s">
        <v>905</v>
      </c>
      <c r="O86" t="s">
        <v>489</v>
      </c>
      <c r="P86" t="s">
        <v>8</v>
      </c>
      <c r="Q86" t="s">
        <v>8</v>
      </c>
      <c r="R86" t="s">
        <v>7</v>
      </c>
      <c r="T86" s="2"/>
      <c r="U86" s="2">
        <v>45950</v>
      </c>
      <c r="V86" s="2">
        <v>45943</v>
      </c>
      <c r="W86" s="1">
        <v>13205.42</v>
      </c>
      <c r="X86">
        <v>6602.71</v>
      </c>
      <c r="Y86" t="s">
        <v>200</v>
      </c>
      <c r="Z86" t="s">
        <v>5</v>
      </c>
      <c r="AA86" s="2"/>
      <c r="AB86" s="1">
        <v>6602.71</v>
      </c>
      <c r="AC86" s="1">
        <v>13205.42</v>
      </c>
      <c r="AD86" s="1">
        <v>0</v>
      </c>
      <c r="AE86" s="1">
        <v>0</v>
      </c>
      <c r="AF86" s="1">
        <v>13280.26</v>
      </c>
      <c r="AG86" s="1">
        <v>0</v>
      </c>
      <c r="AH86" s="1">
        <v>0</v>
      </c>
      <c r="AI86" s="1">
        <v>13280.26</v>
      </c>
      <c r="AJ86" s="1"/>
      <c r="AK86">
        <v>0</v>
      </c>
      <c r="AL86" t="s">
        <v>541</v>
      </c>
      <c r="AM86" t="s">
        <v>541</v>
      </c>
      <c r="AP86" s="1">
        <v>6602.71</v>
      </c>
      <c r="AQ86" s="2"/>
      <c r="AS86" s="1">
        <v>13428.59</v>
      </c>
      <c r="AT86" s="3">
        <v>46022</v>
      </c>
      <c r="AU86" s="1"/>
      <c r="AV86" s="1"/>
      <c r="AX86" t="s">
        <v>2</v>
      </c>
      <c r="AY86" s="1">
        <v>6756.55</v>
      </c>
      <c r="AZ86" s="1">
        <v>6602.71</v>
      </c>
      <c r="BA86" s="1" t="s">
        <v>0</v>
      </c>
      <c r="BB86" t="s">
        <v>1</v>
      </c>
      <c r="BC86" t="s">
        <v>0</v>
      </c>
    </row>
    <row r="87" spans="1:55" x14ac:dyDescent="0.35">
      <c r="A87" t="s">
        <v>915</v>
      </c>
      <c r="B87">
        <v>75078</v>
      </c>
      <c r="C87" t="s">
        <v>914</v>
      </c>
      <c r="D87" t="s">
        <v>20</v>
      </c>
      <c r="E87" t="s">
        <v>907</v>
      </c>
      <c r="F87" t="s">
        <v>18</v>
      </c>
      <c r="G87" t="s">
        <v>17</v>
      </c>
      <c r="H87" t="s">
        <v>16</v>
      </c>
      <c r="I87" t="s">
        <v>15</v>
      </c>
      <c r="J87" t="s">
        <v>545</v>
      </c>
      <c r="K87" t="s">
        <v>179</v>
      </c>
      <c r="L87" t="s">
        <v>913</v>
      </c>
      <c r="M87" t="s">
        <v>11</v>
      </c>
      <c r="N87" t="s">
        <v>905</v>
      </c>
      <c r="O87" t="s">
        <v>489</v>
      </c>
      <c r="P87" t="s">
        <v>8</v>
      </c>
      <c r="Q87" t="s">
        <v>8</v>
      </c>
      <c r="R87" t="s">
        <v>7</v>
      </c>
      <c r="T87" s="2"/>
      <c r="U87" s="2">
        <v>45950</v>
      </c>
      <c r="V87" s="2">
        <v>45943</v>
      </c>
      <c r="W87" s="1">
        <v>12997.12</v>
      </c>
      <c r="X87">
        <v>6498.56</v>
      </c>
      <c r="Y87" t="s">
        <v>200</v>
      </c>
      <c r="Z87" t="s">
        <v>5</v>
      </c>
      <c r="AA87" s="2"/>
      <c r="AB87" s="1">
        <v>6498.56</v>
      </c>
      <c r="AC87" s="1">
        <v>12997.12</v>
      </c>
      <c r="AD87" s="1">
        <v>0</v>
      </c>
      <c r="AE87" s="1">
        <v>0</v>
      </c>
      <c r="AF87" s="1">
        <v>13070.78</v>
      </c>
      <c r="AG87" s="1">
        <v>0</v>
      </c>
      <c r="AH87" s="1">
        <v>0</v>
      </c>
      <c r="AI87" s="1">
        <v>13070.78</v>
      </c>
      <c r="AJ87" s="1"/>
      <c r="AK87">
        <v>0</v>
      </c>
      <c r="AL87" t="s">
        <v>541</v>
      </c>
      <c r="AM87" t="s">
        <v>541</v>
      </c>
      <c r="AP87" s="1">
        <v>6498.56</v>
      </c>
      <c r="AQ87" s="2"/>
      <c r="AS87" s="1">
        <v>13216.77</v>
      </c>
      <c r="AT87" s="3">
        <v>46022</v>
      </c>
      <c r="AU87" s="1"/>
      <c r="AV87" s="1"/>
      <c r="AX87" t="s">
        <v>2</v>
      </c>
      <c r="AY87" s="1">
        <v>6649.98</v>
      </c>
      <c r="AZ87" s="1">
        <v>6498.56</v>
      </c>
      <c r="BA87" s="1" t="s">
        <v>0</v>
      </c>
      <c r="BB87" t="s">
        <v>1</v>
      </c>
      <c r="BC87" t="s">
        <v>0</v>
      </c>
    </row>
    <row r="88" spans="1:55" x14ac:dyDescent="0.35">
      <c r="A88" t="s">
        <v>912</v>
      </c>
      <c r="B88">
        <v>75077</v>
      </c>
      <c r="C88" t="s">
        <v>911</v>
      </c>
      <c r="D88" t="s">
        <v>20</v>
      </c>
      <c r="E88" t="s">
        <v>907</v>
      </c>
      <c r="F88" t="s">
        <v>18</v>
      </c>
      <c r="G88" t="s">
        <v>17</v>
      </c>
      <c r="H88" t="s">
        <v>16</v>
      </c>
      <c r="I88" t="s">
        <v>15</v>
      </c>
      <c r="J88" t="s">
        <v>545</v>
      </c>
      <c r="K88" t="s">
        <v>179</v>
      </c>
      <c r="L88" t="s">
        <v>910</v>
      </c>
      <c r="M88" t="s">
        <v>11</v>
      </c>
      <c r="N88" t="s">
        <v>905</v>
      </c>
      <c r="O88" t="s">
        <v>489</v>
      </c>
      <c r="P88" t="s">
        <v>8</v>
      </c>
      <c r="Q88" t="s">
        <v>8</v>
      </c>
      <c r="R88" t="s">
        <v>7</v>
      </c>
      <c r="T88" s="2"/>
      <c r="U88" s="2">
        <v>45950</v>
      </c>
      <c r="V88" s="2">
        <v>45943</v>
      </c>
      <c r="W88" s="1">
        <v>10793.38</v>
      </c>
      <c r="X88">
        <v>5396.69</v>
      </c>
      <c r="Y88" t="s">
        <v>200</v>
      </c>
      <c r="Z88" t="s">
        <v>5</v>
      </c>
      <c r="AA88" s="2"/>
      <c r="AB88" s="1">
        <v>5396.69</v>
      </c>
      <c r="AC88" s="1">
        <v>10793.38</v>
      </c>
      <c r="AD88" s="1">
        <v>0</v>
      </c>
      <c r="AE88" s="1">
        <v>0</v>
      </c>
      <c r="AF88" s="1">
        <v>10854.54</v>
      </c>
      <c r="AG88" s="1">
        <v>0</v>
      </c>
      <c r="AH88" s="1">
        <v>0</v>
      </c>
      <c r="AI88" s="1">
        <v>10854.54</v>
      </c>
      <c r="AJ88" s="1"/>
      <c r="AK88">
        <v>0</v>
      </c>
      <c r="AL88" t="s">
        <v>541</v>
      </c>
      <c r="AM88" t="s">
        <v>541</v>
      </c>
      <c r="AP88" s="1">
        <v>5396.69</v>
      </c>
      <c r="AQ88" s="2"/>
      <c r="AS88" s="1">
        <v>10975.79</v>
      </c>
      <c r="AT88" s="3">
        <v>46022</v>
      </c>
      <c r="AU88" s="1"/>
      <c r="AV88" s="1"/>
      <c r="AX88" t="s">
        <v>2</v>
      </c>
      <c r="AY88" s="1">
        <v>5522.43</v>
      </c>
      <c r="AZ88" s="1">
        <v>5396.69</v>
      </c>
      <c r="BA88" s="1" t="s">
        <v>0</v>
      </c>
      <c r="BB88" t="s">
        <v>1</v>
      </c>
      <c r="BC88" t="s">
        <v>0</v>
      </c>
    </row>
    <row r="89" spans="1:55" x14ac:dyDescent="0.35">
      <c r="A89" t="s">
        <v>909</v>
      </c>
      <c r="B89">
        <v>75079</v>
      </c>
      <c r="C89" t="s">
        <v>908</v>
      </c>
      <c r="D89" t="s">
        <v>20</v>
      </c>
      <c r="E89" t="s">
        <v>907</v>
      </c>
      <c r="F89" t="s">
        <v>18</v>
      </c>
      <c r="G89" t="s">
        <v>17</v>
      </c>
      <c r="H89" t="s">
        <v>16</v>
      </c>
      <c r="I89" t="s">
        <v>15</v>
      </c>
      <c r="J89" t="s">
        <v>492</v>
      </c>
      <c r="K89" t="s">
        <v>13</v>
      </c>
      <c r="L89" t="s">
        <v>906</v>
      </c>
      <c r="M89" t="s">
        <v>11</v>
      </c>
      <c r="N89" t="s">
        <v>905</v>
      </c>
      <c r="O89" t="s">
        <v>489</v>
      </c>
      <c r="P89" t="s">
        <v>8</v>
      </c>
      <c r="Q89" t="s">
        <v>8</v>
      </c>
      <c r="R89" t="s">
        <v>7</v>
      </c>
      <c r="T89" s="2"/>
      <c r="U89" s="2">
        <v>45950</v>
      </c>
      <c r="V89" s="2">
        <v>45944</v>
      </c>
      <c r="W89" s="1">
        <v>7203.4</v>
      </c>
      <c r="X89">
        <v>3601.7</v>
      </c>
      <c r="Y89" t="s">
        <v>200</v>
      </c>
      <c r="Z89" t="s">
        <v>5</v>
      </c>
      <c r="AA89" s="2"/>
      <c r="AB89" s="1">
        <v>3601.7</v>
      </c>
      <c r="AC89" s="1">
        <v>7203.4</v>
      </c>
      <c r="AD89" s="1">
        <v>0</v>
      </c>
      <c r="AE89" s="1">
        <v>0</v>
      </c>
      <c r="AF89" s="1">
        <v>7241.82</v>
      </c>
      <c r="AG89" s="1">
        <v>0</v>
      </c>
      <c r="AH89" s="1">
        <v>0</v>
      </c>
      <c r="AI89" s="1">
        <v>7241.82</v>
      </c>
      <c r="AJ89" s="1"/>
      <c r="AK89">
        <v>0</v>
      </c>
      <c r="AL89" t="s">
        <v>541</v>
      </c>
      <c r="AM89" t="s">
        <v>541</v>
      </c>
      <c r="AP89" s="1">
        <v>3601.7</v>
      </c>
      <c r="AQ89" s="2"/>
      <c r="AS89" s="1">
        <v>7325.14</v>
      </c>
      <c r="AT89" s="3">
        <v>46022</v>
      </c>
      <c r="AU89" s="1"/>
      <c r="AV89" s="1"/>
      <c r="AX89" t="s">
        <v>2</v>
      </c>
      <c r="AY89" s="1">
        <v>3685.62</v>
      </c>
      <c r="AZ89" s="1">
        <v>3601.7</v>
      </c>
      <c r="BA89" s="1" t="s">
        <v>0</v>
      </c>
      <c r="BB89" t="s">
        <v>1</v>
      </c>
      <c r="BC89" t="s">
        <v>0</v>
      </c>
    </row>
    <row r="90" spans="1:55" x14ac:dyDescent="0.35">
      <c r="A90" t="s">
        <v>904</v>
      </c>
      <c r="B90">
        <v>75074</v>
      </c>
      <c r="C90" t="s">
        <v>903</v>
      </c>
      <c r="D90" t="s">
        <v>20</v>
      </c>
      <c r="E90" t="s">
        <v>115</v>
      </c>
      <c r="F90" t="s">
        <v>234</v>
      </c>
      <c r="G90" t="s">
        <v>17</v>
      </c>
      <c r="H90" t="s">
        <v>16</v>
      </c>
      <c r="I90" t="s">
        <v>15</v>
      </c>
      <c r="J90" t="s">
        <v>902</v>
      </c>
      <c r="K90" t="s">
        <v>13</v>
      </c>
      <c r="L90" t="s">
        <v>901</v>
      </c>
      <c r="M90" t="s">
        <v>11</v>
      </c>
      <c r="N90" t="s">
        <v>10</v>
      </c>
      <c r="O90" t="s">
        <v>9</v>
      </c>
      <c r="P90" t="s">
        <v>8</v>
      </c>
      <c r="Q90" t="s">
        <v>8</v>
      </c>
      <c r="R90" t="s">
        <v>7</v>
      </c>
      <c r="T90" s="2"/>
      <c r="U90" s="2">
        <v>45950</v>
      </c>
      <c r="V90" s="2">
        <v>45939</v>
      </c>
      <c r="W90" s="1">
        <v>3354.54</v>
      </c>
      <c r="X90">
        <v>1677.27</v>
      </c>
      <c r="Y90" t="s">
        <v>200</v>
      </c>
      <c r="Z90" t="s">
        <v>5</v>
      </c>
      <c r="AA90" s="2"/>
      <c r="AB90" s="1">
        <v>1677.27</v>
      </c>
      <c r="AC90" s="1">
        <v>3354.54</v>
      </c>
      <c r="AD90" s="1">
        <v>0</v>
      </c>
      <c r="AE90" s="1">
        <v>0</v>
      </c>
      <c r="AF90" s="1">
        <v>1689.01</v>
      </c>
      <c r="AG90" s="1">
        <v>0</v>
      </c>
      <c r="AH90" s="1">
        <v>0</v>
      </c>
      <c r="AI90" s="1">
        <v>1689.01</v>
      </c>
      <c r="AJ90" s="1"/>
      <c r="AK90">
        <v>0</v>
      </c>
      <c r="AP90" s="1">
        <v>1677.27</v>
      </c>
      <c r="AQ90" s="2"/>
      <c r="AS90" s="1">
        <v>3411.23</v>
      </c>
      <c r="AT90" s="3">
        <v>46022</v>
      </c>
      <c r="AU90" s="1"/>
      <c r="AV90" s="1"/>
      <c r="AX90" t="s">
        <v>2</v>
      </c>
      <c r="AY90" s="1">
        <v>1716.35</v>
      </c>
      <c r="AZ90" s="1">
        <v>1677.27</v>
      </c>
      <c r="BA90" s="1" t="s">
        <v>0</v>
      </c>
      <c r="BB90" t="s">
        <v>1</v>
      </c>
      <c r="BC90" t="s">
        <v>0</v>
      </c>
    </row>
    <row r="91" spans="1:55" x14ac:dyDescent="0.35">
      <c r="A91" t="s">
        <v>900</v>
      </c>
      <c r="B91">
        <v>75075</v>
      </c>
      <c r="C91" t="s">
        <v>899</v>
      </c>
      <c r="D91" t="s">
        <v>20</v>
      </c>
      <c r="E91" t="s">
        <v>115</v>
      </c>
      <c r="F91" t="s">
        <v>18</v>
      </c>
      <c r="G91" t="s">
        <v>17</v>
      </c>
      <c r="H91" t="s">
        <v>16</v>
      </c>
      <c r="I91" t="s">
        <v>15</v>
      </c>
      <c r="J91" t="s">
        <v>898</v>
      </c>
      <c r="K91" t="s">
        <v>13</v>
      </c>
      <c r="L91" t="s">
        <v>897</v>
      </c>
      <c r="M91" t="s">
        <v>11</v>
      </c>
      <c r="N91" t="s">
        <v>10</v>
      </c>
      <c r="O91" t="s">
        <v>9</v>
      </c>
      <c r="P91" t="s">
        <v>8</v>
      </c>
      <c r="Q91" t="s">
        <v>8</v>
      </c>
      <c r="R91" t="s">
        <v>7</v>
      </c>
      <c r="T91" s="2"/>
      <c r="U91" s="2">
        <v>45950</v>
      </c>
      <c r="V91" s="2">
        <v>45939</v>
      </c>
      <c r="W91" s="1">
        <v>3175.58</v>
      </c>
      <c r="X91">
        <v>1587.79</v>
      </c>
      <c r="Y91" t="s">
        <v>200</v>
      </c>
      <c r="Z91" t="s">
        <v>5</v>
      </c>
      <c r="AA91" s="2"/>
      <c r="AB91" s="1">
        <v>1587.79</v>
      </c>
      <c r="AC91" s="1">
        <v>3175.58</v>
      </c>
      <c r="AD91" s="1">
        <v>0</v>
      </c>
      <c r="AE91" s="1">
        <v>0</v>
      </c>
      <c r="AF91" s="1">
        <v>3186.69</v>
      </c>
      <c r="AG91" s="1">
        <v>0</v>
      </c>
      <c r="AH91" s="1">
        <v>0</v>
      </c>
      <c r="AI91" s="1">
        <v>3186.69</v>
      </c>
      <c r="AJ91" s="1"/>
      <c r="AK91">
        <v>0</v>
      </c>
      <c r="AP91" s="1">
        <v>1587.79</v>
      </c>
      <c r="AQ91" s="2"/>
      <c r="AS91" s="1">
        <v>3229.25</v>
      </c>
      <c r="AT91" s="3">
        <v>46022</v>
      </c>
      <c r="AU91" s="1"/>
      <c r="AV91" s="1"/>
      <c r="AX91" t="s">
        <v>2</v>
      </c>
      <c r="AY91" s="1">
        <v>1624.79</v>
      </c>
      <c r="AZ91" s="1">
        <v>1587.79</v>
      </c>
      <c r="BA91" s="1" t="s">
        <v>0</v>
      </c>
      <c r="BB91" t="s">
        <v>1</v>
      </c>
      <c r="BC91" t="s">
        <v>0</v>
      </c>
    </row>
    <row r="92" spans="1:55" x14ac:dyDescent="0.35">
      <c r="A92" t="s">
        <v>896</v>
      </c>
      <c r="B92">
        <v>75072</v>
      </c>
      <c r="C92" t="s">
        <v>895</v>
      </c>
      <c r="D92" t="s">
        <v>20</v>
      </c>
      <c r="E92" t="s">
        <v>115</v>
      </c>
      <c r="F92" t="s">
        <v>18</v>
      </c>
      <c r="G92" t="s">
        <v>17</v>
      </c>
      <c r="H92" t="s">
        <v>16</v>
      </c>
      <c r="I92" t="s">
        <v>15</v>
      </c>
      <c r="J92" t="s">
        <v>14</v>
      </c>
      <c r="K92" t="s">
        <v>13</v>
      </c>
      <c r="L92" t="s">
        <v>894</v>
      </c>
      <c r="M92" t="s">
        <v>11</v>
      </c>
      <c r="N92" t="s">
        <v>10</v>
      </c>
      <c r="O92" t="s">
        <v>9</v>
      </c>
      <c r="P92" t="s">
        <v>8</v>
      </c>
      <c r="Q92" t="s">
        <v>8</v>
      </c>
      <c r="R92" t="s">
        <v>7</v>
      </c>
      <c r="T92" s="2"/>
      <c r="U92" s="2">
        <v>45950</v>
      </c>
      <c r="V92" s="2">
        <v>45939</v>
      </c>
      <c r="W92" s="1">
        <v>2745.3</v>
      </c>
      <c r="X92">
        <v>1372.65</v>
      </c>
      <c r="Y92" t="s">
        <v>200</v>
      </c>
      <c r="Z92" t="s">
        <v>5</v>
      </c>
      <c r="AA92" s="2"/>
      <c r="AB92" s="1">
        <v>1372.65</v>
      </c>
      <c r="AC92" s="1">
        <v>2745.3</v>
      </c>
      <c r="AD92" s="1">
        <v>0</v>
      </c>
      <c r="AE92" s="1">
        <v>0</v>
      </c>
      <c r="AF92" s="1">
        <v>2754.91</v>
      </c>
      <c r="AG92" s="1">
        <v>0</v>
      </c>
      <c r="AH92" s="1">
        <v>0</v>
      </c>
      <c r="AI92" s="1">
        <v>2754.91</v>
      </c>
      <c r="AJ92" s="1"/>
      <c r="AK92">
        <v>0</v>
      </c>
      <c r="AP92" s="1">
        <v>1372.65</v>
      </c>
      <c r="AQ92" s="2"/>
      <c r="AS92" s="1">
        <v>2791.69</v>
      </c>
      <c r="AT92" s="3">
        <v>46022</v>
      </c>
      <c r="AU92" s="1"/>
      <c r="AV92" s="1"/>
      <c r="AX92" t="s">
        <v>2</v>
      </c>
      <c r="AY92" s="1">
        <v>1404.63</v>
      </c>
      <c r="AZ92" s="1">
        <v>1372.65</v>
      </c>
      <c r="BA92" s="1" t="s">
        <v>0</v>
      </c>
      <c r="BB92" t="s">
        <v>1</v>
      </c>
      <c r="BC92" t="s">
        <v>0</v>
      </c>
    </row>
    <row r="93" spans="1:55" x14ac:dyDescent="0.35">
      <c r="A93" t="s">
        <v>893</v>
      </c>
      <c r="B93">
        <v>75073</v>
      </c>
      <c r="C93" t="s">
        <v>892</v>
      </c>
      <c r="D93" t="s">
        <v>20</v>
      </c>
      <c r="E93" t="s">
        <v>115</v>
      </c>
      <c r="F93" t="s">
        <v>234</v>
      </c>
      <c r="G93" t="s">
        <v>17</v>
      </c>
      <c r="H93" t="s">
        <v>16</v>
      </c>
      <c r="I93" t="s">
        <v>15</v>
      </c>
      <c r="J93" t="s">
        <v>233</v>
      </c>
      <c r="K93" t="s">
        <v>13</v>
      </c>
      <c r="L93" t="s">
        <v>891</v>
      </c>
      <c r="M93" t="s">
        <v>11</v>
      </c>
      <c r="N93" t="s">
        <v>231</v>
      </c>
      <c r="O93" t="s">
        <v>9</v>
      </c>
      <c r="P93" t="s">
        <v>8</v>
      </c>
      <c r="Q93" t="s">
        <v>8</v>
      </c>
      <c r="R93" t="s">
        <v>7</v>
      </c>
      <c r="T93" s="2"/>
      <c r="U93" s="2">
        <v>45950</v>
      </c>
      <c r="V93" s="2">
        <v>45939</v>
      </c>
      <c r="W93" s="1">
        <v>1971.28</v>
      </c>
      <c r="X93">
        <v>985.64</v>
      </c>
      <c r="Y93" t="s">
        <v>200</v>
      </c>
      <c r="Z93" t="s">
        <v>5</v>
      </c>
      <c r="AA93" s="2"/>
      <c r="AB93" s="1">
        <v>985.64</v>
      </c>
      <c r="AC93" s="1">
        <v>1971.28</v>
      </c>
      <c r="AD93" s="1">
        <v>0</v>
      </c>
      <c r="AE93" s="1">
        <v>0</v>
      </c>
      <c r="AF93" s="1">
        <v>1978.18</v>
      </c>
      <c r="AG93" s="1">
        <v>0</v>
      </c>
      <c r="AH93" s="1">
        <v>0</v>
      </c>
      <c r="AI93" s="1">
        <v>1978.18</v>
      </c>
      <c r="AJ93" s="1"/>
      <c r="AK93">
        <v>0</v>
      </c>
      <c r="AP93" s="1">
        <v>985.64</v>
      </c>
      <c r="AQ93" s="2"/>
      <c r="AS93" s="1">
        <v>2004.6</v>
      </c>
      <c r="AT93" s="3">
        <v>46022</v>
      </c>
      <c r="AU93" s="1"/>
      <c r="AV93" s="1"/>
      <c r="AX93" t="s">
        <v>2</v>
      </c>
      <c r="AY93" s="1">
        <v>1008.61</v>
      </c>
      <c r="AZ93" s="1">
        <v>985.64</v>
      </c>
      <c r="BA93" s="1" t="s">
        <v>0</v>
      </c>
      <c r="BB93" t="s">
        <v>1</v>
      </c>
      <c r="BC93" t="s">
        <v>0</v>
      </c>
    </row>
    <row r="94" spans="1:55" x14ac:dyDescent="0.35">
      <c r="A94" t="s">
        <v>890</v>
      </c>
      <c r="B94">
        <v>75080</v>
      </c>
      <c r="C94" t="s">
        <v>889</v>
      </c>
      <c r="D94" t="s">
        <v>23</v>
      </c>
      <c r="E94" t="s">
        <v>888</v>
      </c>
      <c r="F94" t="s">
        <v>887</v>
      </c>
      <c r="G94" t="s">
        <v>17</v>
      </c>
      <c r="H94" t="s">
        <v>558</v>
      </c>
      <c r="I94" t="s">
        <v>15</v>
      </c>
      <c r="J94" t="s">
        <v>886</v>
      </c>
      <c r="K94" t="s">
        <v>13</v>
      </c>
      <c r="L94" t="s">
        <v>885</v>
      </c>
      <c r="M94" t="s">
        <v>884</v>
      </c>
      <c r="N94" t="s">
        <v>658</v>
      </c>
      <c r="O94" t="s">
        <v>9</v>
      </c>
      <c r="P94" t="s">
        <v>29</v>
      </c>
      <c r="Q94" t="s">
        <v>124</v>
      </c>
      <c r="R94" t="s">
        <v>589</v>
      </c>
      <c r="T94" s="2"/>
      <c r="U94" s="2">
        <v>45950</v>
      </c>
      <c r="V94" s="2">
        <v>45947</v>
      </c>
      <c r="W94" s="1">
        <v>20000</v>
      </c>
      <c r="X94">
        <v>10000</v>
      </c>
      <c r="Y94" t="s">
        <v>133</v>
      </c>
      <c r="Z94" t="s">
        <v>5</v>
      </c>
      <c r="AA94" s="2">
        <v>1</v>
      </c>
      <c r="AB94" s="1">
        <v>0.03</v>
      </c>
      <c r="AC94" s="1">
        <v>20000</v>
      </c>
      <c r="AD94" s="1">
        <v>0</v>
      </c>
      <c r="AE94" s="1">
        <v>0</v>
      </c>
      <c r="AF94" s="1">
        <v>20086.66</v>
      </c>
      <c r="AG94" s="1">
        <v>0</v>
      </c>
      <c r="AH94" s="1">
        <v>0</v>
      </c>
      <c r="AI94" s="1">
        <v>20086.66</v>
      </c>
      <c r="AJ94" s="1"/>
      <c r="AK94">
        <v>0</v>
      </c>
      <c r="AN94" t="s">
        <v>883</v>
      </c>
      <c r="AO94" t="s">
        <v>882</v>
      </c>
      <c r="AP94" s="1">
        <v>10000</v>
      </c>
      <c r="AQ94" s="2"/>
      <c r="AS94" s="1">
        <v>10249.51</v>
      </c>
      <c r="AT94" s="3">
        <v>46022</v>
      </c>
      <c r="AU94" s="1"/>
      <c r="AV94" s="1"/>
      <c r="AX94" t="s">
        <v>2</v>
      </c>
      <c r="AY94" s="1">
        <v>0.03</v>
      </c>
      <c r="AZ94" s="1">
        <v>0.03</v>
      </c>
      <c r="BA94" s="1" t="s">
        <v>0</v>
      </c>
      <c r="BB94" t="s">
        <v>23</v>
      </c>
      <c r="BC94" t="s">
        <v>0</v>
      </c>
    </row>
    <row r="95" spans="1:55" x14ac:dyDescent="0.35">
      <c r="A95" t="s">
        <v>881</v>
      </c>
      <c r="B95">
        <v>75082</v>
      </c>
      <c r="C95" t="s">
        <v>880</v>
      </c>
      <c r="D95" t="s">
        <v>20</v>
      </c>
      <c r="E95" t="s">
        <v>802</v>
      </c>
      <c r="F95" t="s">
        <v>801</v>
      </c>
      <c r="G95" t="s">
        <v>17</v>
      </c>
      <c r="H95" t="s">
        <v>16</v>
      </c>
      <c r="I95" t="s">
        <v>15</v>
      </c>
      <c r="J95" t="s">
        <v>800</v>
      </c>
      <c r="K95" t="s">
        <v>33</v>
      </c>
      <c r="L95" t="s">
        <v>877</v>
      </c>
      <c r="M95" t="s">
        <v>11</v>
      </c>
      <c r="N95" t="s">
        <v>798</v>
      </c>
      <c r="O95" t="s">
        <v>42</v>
      </c>
      <c r="P95" t="s">
        <v>8</v>
      </c>
      <c r="Q95" t="s">
        <v>8</v>
      </c>
      <c r="R95" t="s">
        <v>7</v>
      </c>
      <c r="T95" s="2"/>
      <c r="U95" s="2">
        <v>45951</v>
      </c>
      <c r="V95" s="2">
        <v>45709</v>
      </c>
      <c r="W95" s="1">
        <v>7420.46</v>
      </c>
      <c r="X95"/>
      <c r="Y95" t="s">
        <v>200</v>
      </c>
      <c r="Z95" t="s">
        <v>5</v>
      </c>
      <c r="AA95" s="2"/>
      <c r="AB95" s="1"/>
      <c r="AC95" s="1">
        <v>7420.46</v>
      </c>
      <c r="AD95" s="1">
        <v>0</v>
      </c>
      <c r="AE95" s="1">
        <v>0</v>
      </c>
      <c r="AF95" s="1">
        <v>7420.46</v>
      </c>
      <c r="AG95" s="1">
        <v>0</v>
      </c>
      <c r="AH95" s="1">
        <v>0</v>
      </c>
      <c r="AI95" s="1">
        <v>7420.46</v>
      </c>
      <c r="AJ95" s="1"/>
      <c r="AK95">
        <v>0</v>
      </c>
      <c r="AN95" t="s">
        <v>797</v>
      </c>
      <c r="AO95" t="s">
        <v>796</v>
      </c>
      <c r="AP95" s="1">
        <v>3710.23</v>
      </c>
      <c r="AQ95" s="2"/>
      <c r="AS95" s="1">
        <v>3749.19</v>
      </c>
      <c r="AT95" s="3">
        <v>46022</v>
      </c>
      <c r="AU95" s="1"/>
      <c r="AV95" s="1"/>
      <c r="AX95" t="s">
        <v>2</v>
      </c>
      <c r="AY95" s="1">
        <v>0</v>
      </c>
      <c r="AZ95" s="1">
        <v>0</v>
      </c>
      <c r="BA95" s="1" t="s">
        <v>0</v>
      </c>
      <c r="BB95" t="s">
        <v>1</v>
      </c>
      <c r="BC95" t="s">
        <v>0</v>
      </c>
    </row>
    <row r="96" spans="1:55" x14ac:dyDescent="0.35">
      <c r="A96" t="s">
        <v>879</v>
      </c>
      <c r="B96">
        <v>75083</v>
      </c>
      <c r="C96" t="s">
        <v>878</v>
      </c>
      <c r="D96" t="s">
        <v>20</v>
      </c>
      <c r="E96" t="s">
        <v>802</v>
      </c>
      <c r="F96" t="s">
        <v>801</v>
      </c>
      <c r="G96" t="s">
        <v>17</v>
      </c>
      <c r="H96" t="s">
        <v>16</v>
      </c>
      <c r="I96" t="s">
        <v>15</v>
      </c>
      <c r="J96" t="s">
        <v>800</v>
      </c>
      <c r="K96" t="s">
        <v>33</v>
      </c>
      <c r="L96" t="s">
        <v>877</v>
      </c>
      <c r="M96" t="s">
        <v>11</v>
      </c>
      <c r="N96" t="s">
        <v>798</v>
      </c>
      <c r="O96" t="s">
        <v>42</v>
      </c>
      <c r="P96" t="s">
        <v>8</v>
      </c>
      <c r="Q96" t="s">
        <v>8</v>
      </c>
      <c r="R96" t="s">
        <v>7</v>
      </c>
      <c r="T96" s="2"/>
      <c r="U96" s="2">
        <v>45951</v>
      </c>
      <c r="V96" s="2">
        <v>45709</v>
      </c>
      <c r="W96" s="1">
        <v>7425.64</v>
      </c>
      <c r="X96"/>
      <c r="Y96" t="s">
        <v>200</v>
      </c>
      <c r="Z96" t="s">
        <v>5</v>
      </c>
      <c r="AA96" s="2"/>
      <c r="AB96" s="1"/>
      <c r="AC96" s="1">
        <v>7425.64</v>
      </c>
      <c r="AD96" s="1">
        <v>0</v>
      </c>
      <c r="AE96" s="1">
        <v>0</v>
      </c>
      <c r="AF96" s="1">
        <v>7425.64</v>
      </c>
      <c r="AG96" s="1">
        <v>0</v>
      </c>
      <c r="AH96" s="1">
        <v>0</v>
      </c>
      <c r="AI96" s="1">
        <v>7425.64</v>
      </c>
      <c r="AJ96" s="1"/>
      <c r="AK96">
        <v>0</v>
      </c>
      <c r="AP96" s="1">
        <v>3712.82</v>
      </c>
      <c r="AQ96" s="2"/>
      <c r="AS96" s="1">
        <v>3751.8</v>
      </c>
      <c r="AT96" s="3">
        <v>46022</v>
      </c>
      <c r="AU96" s="1"/>
      <c r="AV96" s="1"/>
      <c r="AX96" t="s">
        <v>2</v>
      </c>
      <c r="AY96" s="1">
        <v>0</v>
      </c>
      <c r="AZ96" s="1">
        <v>0</v>
      </c>
      <c r="BA96" s="1" t="s">
        <v>0</v>
      </c>
      <c r="BB96" t="s">
        <v>1</v>
      </c>
      <c r="BC96" t="s">
        <v>0</v>
      </c>
    </row>
    <row r="97" spans="1:55" x14ac:dyDescent="0.35">
      <c r="A97" t="s">
        <v>876</v>
      </c>
      <c r="B97">
        <v>75084</v>
      </c>
      <c r="C97" t="s">
        <v>875</v>
      </c>
      <c r="D97" t="s">
        <v>20</v>
      </c>
      <c r="E97" t="s">
        <v>802</v>
      </c>
      <c r="F97" t="s">
        <v>139</v>
      </c>
      <c r="G97" t="s">
        <v>17</v>
      </c>
      <c r="H97" t="s">
        <v>16</v>
      </c>
      <c r="I97" t="s">
        <v>15</v>
      </c>
      <c r="J97" t="s">
        <v>872</v>
      </c>
      <c r="K97" t="s">
        <v>33</v>
      </c>
      <c r="L97" t="s">
        <v>871</v>
      </c>
      <c r="M97" t="s">
        <v>11</v>
      </c>
      <c r="N97" t="s">
        <v>798</v>
      </c>
      <c r="O97" t="s">
        <v>42</v>
      </c>
      <c r="P97" t="s">
        <v>8</v>
      </c>
      <c r="Q97" t="s">
        <v>8</v>
      </c>
      <c r="R97" t="s">
        <v>7</v>
      </c>
      <c r="T97" s="2"/>
      <c r="U97" s="2">
        <v>45952</v>
      </c>
      <c r="V97" s="2">
        <v>45709</v>
      </c>
      <c r="W97" s="1">
        <v>4468.12</v>
      </c>
      <c r="X97"/>
      <c r="Y97" t="s">
        <v>200</v>
      </c>
      <c r="Z97" t="s">
        <v>5</v>
      </c>
      <c r="AA97" s="2"/>
      <c r="AB97" s="1"/>
      <c r="AC97" s="1">
        <v>4468.12</v>
      </c>
      <c r="AD97" s="1">
        <v>0</v>
      </c>
      <c r="AE97" s="1">
        <v>0</v>
      </c>
      <c r="AF97" s="1">
        <v>4468.12</v>
      </c>
      <c r="AG97" s="1">
        <v>0</v>
      </c>
      <c r="AH97" s="1">
        <v>0</v>
      </c>
      <c r="AI97" s="1">
        <v>4468.12</v>
      </c>
      <c r="AJ97" s="1"/>
      <c r="AK97">
        <v>0</v>
      </c>
      <c r="AN97" t="s">
        <v>797</v>
      </c>
      <c r="AO97" t="s">
        <v>796</v>
      </c>
      <c r="AP97" s="1">
        <v>2234.06</v>
      </c>
      <c r="AQ97" s="2"/>
      <c r="AS97" s="1">
        <v>2257.52</v>
      </c>
      <c r="AT97" s="3">
        <v>46022</v>
      </c>
      <c r="AU97" s="1"/>
      <c r="AV97" s="1"/>
      <c r="AX97" t="s">
        <v>2</v>
      </c>
      <c r="AY97" s="1">
        <v>0</v>
      </c>
      <c r="AZ97" s="1">
        <v>0</v>
      </c>
      <c r="BA97" s="1" t="s">
        <v>0</v>
      </c>
      <c r="BB97" t="s">
        <v>1</v>
      </c>
      <c r="BC97" t="s">
        <v>0</v>
      </c>
    </row>
    <row r="98" spans="1:55" x14ac:dyDescent="0.35">
      <c r="A98" t="s">
        <v>874</v>
      </c>
      <c r="B98">
        <v>75085</v>
      </c>
      <c r="C98" t="s">
        <v>873</v>
      </c>
      <c r="D98" t="s">
        <v>20</v>
      </c>
      <c r="E98" t="s">
        <v>802</v>
      </c>
      <c r="F98" t="s">
        <v>139</v>
      </c>
      <c r="G98" t="s">
        <v>17</v>
      </c>
      <c r="H98" t="s">
        <v>16</v>
      </c>
      <c r="I98" t="s">
        <v>15</v>
      </c>
      <c r="J98" t="s">
        <v>872</v>
      </c>
      <c r="K98" t="s">
        <v>33</v>
      </c>
      <c r="L98" t="s">
        <v>871</v>
      </c>
      <c r="M98" t="s">
        <v>11</v>
      </c>
      <c r="N98" t="s">
        <v>798</v>
      </c>
      <c r="O98" t="s">
        <v>42</v>
      </c>
      <c r="P98" t="s">
        <v>8</v>
      </c>
      <c r="Q98" t="s">
        <v>8</v>
      </c>
      <c r="R98" t="s">
        <v>7</v>
      </c>
      <c r="T98" s="2"/>
      <c r="U98" s="2">
        <v>45952</v>
      </c>
      <c r="V98" s="2">
        <v>45709</v>
      </c>
      <c r="W98" s="1">
        <v>4468.12</v>
      </c>
      <c r="X98"/>
      <c r="Y98" t="s">
        <v>200</v>
      </c>
      <c r="Z98" t="s">
        <v>5</v>
      </c>
      <c r="AA98" s="2"/>
      <c r="AB98" s="1"/>
      <c r="AC98" s="1">
        <v>4468.12</v>
      </c>
      <c r="AD98" s="1">
        <v>0</v>
      </c>
      <c r="AE98" s="1">
        <v>0</v>
      </c>
      <c r="AF98" s="1">
        <v>4468.12</v>
      </c>
      <c r="AG98" s="1">
        <v>0</v>
      </c>
      <c r="AH98" s="1">
        <v>0</v>
      </c>
      <c r="AI98" s="1">
        <v>4468.12</v>
      </c>
      <c r="AJ98" s="1"/>
      <c r="AK98">
        <v>0</v>
      </c>
      <c r="AN98" t="s">
        <v>797</v>
      </c>
      <c r="AO98" t="s">
        <v>796</v>
      </c>
      <c r="AP98" s="1">
        <v>2234.06</v>
      </c>
      <c r="AQ98" s="2"/>
      <c r="AS98" s="1">
        <v>2257.52</v>
      </c>
      <c r="AT98" s="3">
        <v>46022</v>
      </c>
      <c r="AU98" s="1"/>
      <c r="AV98" s="1"/>
      <c r="AX98" t="s">
        <v>2</v>
      </c>
      <c r="AY98" s="1">
        <v>0</v>
      </c>
      <c r="AZ98" s="1">
        <v>0</v>
      </c>
      <c r="BA98" s="1" t="s">
        <v>0</v>
      </c>
      <c r="BB98" t="s">
        <v>1</v>
      </c>
      <c r="BC98" t="s">
        <v>0</v>
      </c>
    </row>
    <row r="99" spans="1:55" x14ac:dyDescent="0.35">
      <c r="A99" t="s">
        <v>870</v>
      </c>
      <c r="B99">
        <v>75086</v>
      </c>
      <c r="C99" t="s">
        <v>869</v>
      </c>
      <c r="D99" t="s">
        <v>20</v>
      </c>
      <c r="E99" t="s">
        <v>802</v>
      </c>
      <c r="F99" t="s">
        <v>139</v>
      </c>
      <c r="G99" t="s">
        <v>17</v>
      </c>
      <c r="H99" t="s">
        <v>16</v>
      </c>
      <c r="I99" t="s">
        <v>15</v>
      </c>
      <c r="J99" t="s">
        <v>854</v>
      </c>
      <c r="K99" t="s">
        <v>33</v>
      </c>
      <c r="L99" t="s">
        <v>866</v>
      </c>
      <c r="M99" t="s">
        <v>11</v>
      </c>
      <c r="N99" t="s">
        <v>798</v>
      </c>
      <c r="O99" t="s">
        <v>42</v>
      </c>
      <c r="P99" t="s">
        <v>8</v>
      </c>
      <c r="Q99" t="s">
        <v>8</v>
      </c>
      <c r="R99" t="s">
        <v>7</v>
      </c>
      <c r="T99" s="2"/>
      <c r="U99" s="2">
        <v>45952</v>
      </c>
      <c r="V99" s="2">
        <v>45709</v>
      </c>
      <c r="W99" s="1">
        <v>6694.52</v>
      </c>
      <c r="X99"/>
      <c r="Y99" t="s">
        <v>200</v>
      </c>
      <c r="Z99" t="s">
        <v>5</v>
      </c>
      <c r="AA99" s="2"/>
      <c r="AB99" s="1"/>
      <c r="AC99" s="1">
        <v>6694.52</v>
      </c>
      <c r="AD99" s="1">
        <v>0</v>
      </c>
      <c r="AE99" s="1">
        <v>0</v>
      </c>
      <c r="AF99" s="1">
        <v>6694.52</v>
      </c>
      <c r="AG99" s="1">
        <v>0</v>
      </c>
      <c r="AH99" s="1">
        <v>0</v>
      </c>
      <c r="AI99" s="1">
        <v>6694.52</v>
      </c>
      <c r="AJ99" s="1"/>
      <c r="AK99">
        <v>0</v>
      </c>
      <c r="AN99" t="s">
        <v>797</v>
      </c>
      <c r="AO99" t="s">
        <v>796</v>
      </c>
      <c r="AP99" s="1">
        <v>3347.26</v>
      </c>
      <c r="AQ99" s="2"/>
      <c r="AS99" s="1">
        <v>3382.41</v>
      </c>
      <c r="AT99" s="3">
        <v>46022</v>
      </c>
      <c r="AU99" s="1"/>
      <c r="AV99" s="1"/>
      <c r="AX99" t="s">
        <v>2</v>
      </c>
      <c r="AY99" s="1">
        <v>0</v>
      </c>
      <c r="AZ99" s="1">
        <v>0</v>
      </c>
      <c r="BA99" s="1" t="s">
        <v>0</v>
      </c>
      <c r="BB99" t="s">
        <v>1</v>
      </c>
      <c r="BC99" t="s">
        <v>0</v>
      </c>
    </row>
    <row r="100" spans="1:55" x14ac:dyDescent="0.35">
      <c r="A100" t="s">
        <v>868</v>
      </c>
      <c r="B100">
        <v>75087</v>
      </c>
      <c r="C100" t="s">
        <v>867</v>
      </c>
      <c r="D100" t="s">
        <v>20</v>
      </c>
      <c r="E100" t="s">
        <v>802</v>
      </c>
      <c r="F100" t="s">
        <v>139</v>
      </c>
      <c r="G100" t="s">
        <v>17</v>
      </c>
      <c r="H100" t="s">
        <v>16</v>
      </c>
      <c r="I100" t="s">
        <v>15</v>
      </c>
      <c r="J100" t="s">
        <v>854</v>
      </c>
      <c r="K100" t="s">
        <v>33</v>
      </c>
      <c r="L100" t="s">
        <v>866</v>
      </c>
      <c r="M100" t="s">
        <v>11</v>
      </c>
      <c r="N100" t="s">
        <v>798</v>
      </c>
      <c r="O100" t="s">
        <v>42</v>
      </c>
      <c r="P100" t="s">
        <v>8</v>
      </c>
      <c r="Q100" t="s">
        <v>8</v>
      </c>
      <c r="R100" t="s">
        <v>7</v>
      </c>
      <c r="T100" s="2"/>
      <c r="U100" s="2">
        <v>45952</v>
      </c>
      <c r="V100" s="2">
        <v>45709</v>
      </c>
      <c r="W100" s="1">
        <v>6694.52</v>
      </c>
      <c r="X100"/>
      <c r="Y100" t="s">
        <v>200</v>
      </c>
      <c r="Z100" t="s">
        <v>5</v>
      </c>
      <c r="AA100" s="2"/>
      <c r="AB100" s="1"/>
      <c r="AC100" s="1">
        <v>6694.52</v>
      </c>
      <c r="AD100" s="1">
        <v>0</v>
      </c>
      <c r="AE100" s="1">
        <v>0</v>
      </c>
      <c r="AF100" s="1">
        <v>6694.52</v>
      </c>
      <c r="AG100" s="1">
        <v>0</v>
      </c>
      <c r="AH100" s="1">
        <v>0</v>
      </c>
      <c r="AI100" s="1">
        <v>6694.52</v>
      </c>
      <c r="AJ100" s="1"/>
      <c r="AK100">
        <v>0</v>
      </c>
      <c r="AN100" t="s">
        <v>797</v>
      </c>
      <c r="AO100" t="s">
        <v>796</v>
      </c>
      <c r="AP100" s="1">
        <v>3347.26</v>
      </c>
      <c r="AQ100" s="2"/>
      <c r="AS100" s="1">
        <v>3382.41</v>
      </c>
      <c r="AT100" s="3">
        <v>46022</v>
      </c>
      <c r="AU100" s="1"/>
      <c r="AV100" s="1"/>
      <c r="AX100" t="s">
        <v>2</v>
      </c>
      <c r="AY100" s="1">
        <v>0</v>
      </c>
      <c r="AZ100" s="1">
        <v>0</v>
      </c>
      <c r="BA100" s="1" t="s">
        <v>0</v>
      </c>
      <c r="BB100" t="s">
        <v>1</v>
      </c>
      <c r="BC100" t="s">
        <v>0</v>
      </c>
    </row>
    <row r="101" spans="1:55" x14ac:dyDescent="0.35">
      <c r="A101" t="s">
        <v>865</v>
      </c>
      <c r="B101">
        <v>75088</v>
      </c>
      <c r="C101" t="s">
        <v>864</v>
      </c>
      <c r="D101" t="s">
        <v>20</v>
      </c>
      <c r="E101" t="s">
        <v>802</v>
      </c>
      <c r="F101" t="s">
        <v>139</v>
      </c>
      <c r="G101" t="s">
        <v>17</v>
      </c>
      <c r="H101" t="s">
        <v>16</v>
      </c>
      <c r="I101" t="s">
        <v>15</v>
      </c>
      <c r="J101" t="s">
        <v>854</v>
      </c>
      <c r="K101" t="s">
        <v>33</v>
      </c>
      <c r="L101" t="s">
        <v>863</v>
      </c>
      <c r="M101" t="s">
        <v>11</v>
      </c>
      <c r="N101" t="s">
        <v>798</v>
      </c>
      <c r="O101" t="s">
        <v>42</v>
      </c>
      <c r="P101" t="s">
        <v>8</v>
      </c>
      <c r="Q101" t="s">
        <v>8</v>
      </c>
      <c r="R101" t="s">
        <v>7</v>
      </c>
      <c r="T101" s="2"/>
      <c r="U101" s="2">
        <v>45952</v>
      </c>
      <c r="V101" s="2">
        <v>45709</v>
      </c>
      <c r="W101" s="1">
        <v>6694.52</v>
      </c>
      <c r="X101"/>
      <c r="Y101" t="s">
        <v>200</v>
      </c>
      <c r="Z101" t="s">
        <v>5</v>
      </c>
      <c r="AA101" s="2"/>
      <c r="AB101" s="1"/>
      <c r="AC101" s="1">
        <v>6694.52</v>
      </c>
      <c r="AD101" s="1">
        <v>0</v>
      </c>
      <c r="AE101" s="1">
        <v>0</v>
      </c>
      <c r="AF101" s="1">
        <v>6694.52</v>
      </c>
      <c r="AG101" s="1">
        <v>0</v>
      </c>
      <c r="AH101" s="1">
        <v>0</v>
      </c>
      <c r="AI101" s="1">
        <v>6694.52</v>
      </c>
      <c r="AJ101" s="1"/>
      <c r="AK101">
        <v>0</v>
      </c>
      <c r="AN101" t="s">
        <v>797</v>
      </c>
      <c r="AO101" t="s">
        <v>796</v>
      </c>
      <c r="AP101" s="1">
        <v>3347.26</v>
      </c>
      <c r="AQ101" s="2"/>
      <c r="AS101" s="1">
        <v>3382.41</v>
      </c>
      <c r="AT101" s="3">
        <v>46022</v>
      </c>
      <c r="AU101" s="1"/>
      <c r="AV101" s="1"/>
      <c r="AX101" t="s">
        <v>2</v>
      </c>
      <c r="AY101" s="1">
        <v>0</v>
      </c>
      <c r="AZ101" s="1">
        <v>0</v>
      </c>
      <c r="BA101" s="1" t="s">
        <v>0</v>
      </c>
      <c r="BB101" t="s">
        <v>1</v>
      </c>
      <c r="BC101" t="s">
        <v>0</v>
      </c>
    </row>
    <row r="102" spans="1:55" x14ac:dyDescent="0.35">
      <c r="A102" t="s">
        <v>862</v>
      </c>
      <c r="B102">
        <v>75089</v>
      </c>
      <c r="C102" t="s">
        <v>861</v>
      </c>
      <c r="D102" t="s">
        <v>20</v>
      </c>
      <c r="E102" t="s">
        <v>802</v>
      </c>
      <c r="F102" t="s">
        <v>139</v>
      </c>
      <c r="G102" t="s">
        <v>17</v>
      </c>
      <c r="H102" t="s">
        <v>16</v>
      </c>
      <c r="I102" t="s">
        <v>746</v>
      </c>
      <c r="J102" t="s">
        <v>854</v>
      </c>
      <c r="K102" t="s">
        <v>33</v>
      </c>
      <c r="L102" t="s">
        <v>860</v>
      </c>
      <c r="M102" t="s">
        <v>11</v>
      </c>
      <c r="N102" t="s">
        <v>798</v>
      </c>
      <c r="O102" t="s">
        <v>42</v>
      </c>
      <c r="P102" t="s">
        <v>8</v>
      </c>
      <c r="Q102" t="s">
        <v>8</v>
      </c>
      <c r="R102" t="s">
        <v>7</v>
      </c>
      <c r="T102" s="2"/>
      <c r="U102" s="2">
        <v>45952</v>
      </c>
      <c r="V102" s="2">
        <v>45709</v>
      </c>
      <c r="W102" s="1">
        <v>6694.52</v>
      </c>
      <c r="X102"/>
      <c r="Y102" t="s">
        <v>200</v>
      </c>
      <c r="Z102" t="s">
        <v>5</v>
      </c>
      <c r="AA102" s="2"/>
      <c r="AB102" s="1"/>
      <c r="AC102" s="1">
        <v>6694.52</v>
      </c>
      <c r="AD102" s="1">
        <v>0</v>
      </c>
      <c r="AE102" s="1">
        <v>0</v>
      </c>
      <c r="AF102" s="1">
        <v>6694.52</v>
      </c>
      <c r="AG102" s="1">
        <v>0</v>
      </c>
      <c r="AH102" s="1">
        <v>0</v>
      </c>
      <c r="AI102" s="1">
        <v>6694.52</v>
      </c>
      <c r="AJ102" s="1"/>
      <c r="AK102">
        <v>0</v>
      </c>
      <c r="AN102" t="s">
        <v>797</v>
      </c>
      <c r="AO102" t="s">
        <v>796</v>
      </c>
      <c r="AP102" s="1">
        <v>3347.26</v>
      </c>
      <c r="AQ102" s="2"/>
      <c r="AS102" s="1">
        <v>3382.41</v>
      </c>
      <c r="AT102" s="3">
        <v>46022</v>
      </c>
      <c r="AU102" s="1"/>
      <c r="AV102" s="1"/>
      <c r="AX102" t="s">
        <v>2</v>
      </c>
      <c r="AY102" s="1">
        <v>0</v>
      </c>
      <c r="AZ102" s="1">
        <v>0</v>
      </c>
      <c r="BA102" s="1" t="s">
        <v>0</v>
      </c>
      <c r="BB102" t="s">
        <v>1</v>
      </c>
      <c r="BC102" t="s">
        <v>0</v>
      </c>
    </row>
    <row r="103" spans="1:55" x14ac:dyDescent="0.35">
      <c r="A103" t="s">
        <v>859</v>
      </c>
      <c r="B103">
        <v>75094</v>
      </c>
      <c r="C103" t="s">
        <v>858</v>
      </c>
      <c r="D103" t="s">
        <v>20</v>
      </c>
      <c r="E103" t="s">
        <v>802</v>
      </c>
      <c r="F103" t="s">
        <v>801</v>
      </c>
      <c r="G103" t="s">
        <v>17</v>
      </c>
      <c r="H103" t="s">
        <v>16</v>
      </c>
      <c r="I103" t="s">
        <v>15</v>
      </c>
      <c r="J103" t="s">
        <v>854</v>
      </c>
      <c r="K103" t="s">
        <v>33</v>
      </c>
      <c r="L103" t="s">
        <v>857</v>
      </c>
      <c r="M103" t="s">
        <v>11</v>
      </c>
      <c r="N103" t="s">
        <v>798</v>
      </c>
      <c r="O103" t="s">
        <v>42</v>
      </c>
      <c r="P103" t="s">
        <v>8</v>
      </c>
      <c r="Q103" t="s">
        <v>8</v>
      </c>
      <c r="R103" t="s">
        <v>7</v>
      </c>
      <c r="T103" s="2"/>
      <c r="U103" s="2">
        <v>45952</v>
      </c>
      <c r="V103" s="2">
        <v>45709</v>
      </c>
      <c r="W103" s="1">
        <v>10073.719999999999</v>
      </c>
      <c r="X103"/>
      <c r="Y103" t="s">
        <v>200</v>
      </c>
      <c r="Z103" t="s">
        <v>5</v>
      </c>
      <c r="AA103" s="2"/>
      <c r="AB103" s="1"/>
      <c r="AC103" s="1">
        <v>10073.719999999999</v>
      </c>
      <c r="AD103" s="1">
        <v>0</v>
      </c>
      <c r="AE103" s="1">
        <v>0</v>
      </c>
      <c r="AF103" s="1">
        <v>10073.719999999999</v>
      </c>
      <c r="AG103" s="1">
        <v>0</v>
      </c>
      <c r="AH103" s="1">
        <v>0</v>
      </c>
      <c r="AI103" s="1">
        <v>10073.719999999999</v>
      </c>
      <c r="AJ103" s="1"/>
      <c r="AK103">
        <v>0</v>
      </c>
      <c r="AN103" t="s">
        <v>797</v>
      </c>
      <c r="AO103" t="s">
        <v>796</v>
      </c>
      <c r="AP103" s="1">
        <v>5036.8599999999997</v>
      </c>
      <c r="AQ103" s="2"/>
      <c r="AS103" s="1">
        <v>5089.75</v>
      </c>
      <c r="AT103" s="3">
        <v>46022</v>
      </c>
      <c r="AU103" s="1"/>
      <c r="AV103" s="1"/>
      <c r="AX103" t="s">
        <v>2</v>
      </c>
      <c r="AY103" s="1">
        <v>0</v>
      </c>
      <c r="AZ103" s="1">
        <v>0</v>
      </c>
      <c r="BA103" s="1" t="s">
        <v>0</v>
      </c>
      <c r="BB103" t="s">
        <v>1</v>
      </c>
      <c r="BC103" t="s">
        <v>0</v>
      </c>
    </row>
    <row r="104" spans="1:55" x14ac:dyDescent="0.35">
      <c r="A104" t="s">
        <v>856</v>
      </c>
      <c r="B104">
        <v>75095</v>
      </c>
      <c r="C104" t="s">
        <v>855</v>
      </c>
      <c r="D104" t="s">
        <v>20</v>
      </c>
      <c r="E104" t="s">
        <v>802</v>
      </c>
      <c r="F104" t="s">
        <v>801</v>
      </c>
      <c r="G104" t="s">
        <v>17</v>
      </c>
      <c r="H104" t="s">
        <v>16</v>
      </c>
      <c r="I104" t="s">
        <v>15</v>
      </c>
      <c r="J104" t="s">
        <v>854</v>
      </c>
      <c r="K104" t="s">
        <v>33</v>
      </c>
      <c r="L104" t="s">
        <v>853</v>
      </c>
      <c r="M104" t="s">
        <v>11</v>
      </c>
      <c r="N104" t="s">
        <v>798</v>
      </c>
      <c r="O104" t="s">
        <v>42</v>
      </c>
      <c r="P104" t="s">
        <v>8</v>
      </c>
      <c r="Q104" t="s">
        <v>8</v>
      </c>
      <c r="R104" t="s">
        <v>7</v>
      </c>
      <c r="T104" s="2"/>
      <c r="U104" s="2">
        <v>45952</v>
      </c>
      <c r="V104" s="2">
        <v>45709</v>
      </c>
      <c r="W104" s="1">
        <v>3925.18</v>
      </c>
      <c r="X104"/>
      <c r="Y104" t="s">
        <v>200</v>
      </c>
      <c r="Z104" t="s">
        <v>5</v>
      </c>
      <c r="AA104" s="2"/>
      <c r="AB104" s="1"/>
      <c r="AC104" s="1">
        <v>3925.18</v>
      </c>
      <c r="AD104" s="1">
        <v>0</v>
      </c>
      <c r="AE104" s="1">
        <v>0</v>
      </c>
      <c r="AF104" s="1">
        <v>3925.18</v>
      </c>
      <c r="AG104" s="1">
        <v>0</v>
      </c>
      <c r="AH104" s="1">
        <v>0</v>
      </c>
      <c r="AI104" s="1">
        <v>3925.18</v>
      </c>
      <c r="AJ104" s="1"/>
      <c r="AK104">
        <v>0</v>
      </c>
      <c r="AN104" t="s">
        <v>797</v>
      </c>
      <c r="AO104" t="s">
        <v>796</v>
      </c>
      <c r="AP104" s="1">
        <v>1962.59</v>
      </c>
      <c r="AQ104" s="2"/>
      <c r="AS104" s="1">
        <v>1983.2</v>
      </c>
      <c r="AT104" s="3">
        <v>46022</v>
      </c>
      <c r="AU104" s="1"/>
      <c r="AV104" s="1"/>
      <c r="AX104" t="s">
        <v>2</v>
      </c>
      <c r="AY104" s="1">
        <v>0</v>
      </c>
      <c r="AZ104" s="1">
        <v>0</v>
      </c>
      <c r="BA104" s="1" t="s">
        <v>0</v>
      </c>
      <c r="BB104" t="s">
        <v>1</v>
      </c>
      <c r="BC104" t="s">
        <v>0</v>
      </c>
    </row>
    <row r="105" spans="1:55" x14ac:dyDescent="0.35">
      <c r="A105" t="s">
        <v>852</v>
      </c>
      <c r="B105">
        <v>75096</v>
      </c>
      <c r="C105" t="s">
        <v>851</v>
      </c>
      <c r="D105" t="s">
        <v>20</v>
      </c>
      <c r="E105" t="s">
        <v>802</v>
      </c>
      <c r="F105" t="s">
        <v>801</v>
      </c>
      <c r="G105" t="s">
        <v>17</v>
      </c>
      <c r="H105" t="s">
        <v>16</v>
      </c>
      <c r="I105" t="s">
        <v>15</v>
      </c>
      <c r="J105" t="s">
        <v>850</v>
      </c>
      <c r="K105" t="s">
        <v>33</v>
      </c>
      <c r="L105" t="s">
        <v>849</v>
      </c>
      <c r="M105" t="s">
        <v>11</v>
      </c>
      <c r="N105" t="s">
        <v>798</v>
      </c>
      <c r="O105" t="s">
        <v>42</v>
      </c>
      <c r="P105" t="s">
        <v>8</v>
      </c>
      <c r="Q105" t="s">
        <v>8</v>
      </c>
      <c r="R105" t="s">
        <v>7</v>
      </c>
      <c r="T105" s="2"/>
      <c r="U105" s="2">
        <v>45952</v>
      </c>
      <c r="V105" s="2">
        <v>45709</v>
      </c>
      <c r="W105" s="1">
        <v>17005.96</v>
      </c>
      <c r="X105"/>
      <c r="Y105" t="s">
        <v>200</v>
      </c>
      <c r="Z105" t="s">
        <v>5</v>
      </c>
      <c r="AA105" s="2"/>
      <c r="AB105" s="1"/>
      <c r="AC105" s="1">
        <v>17005.96</v>
      </c>
      <c r="AD105" s="1">
        <v>0</v>
      </c>
      <c r="AE105" s="1">
        <v>0</v>
      </c>
      <c r="AF105" s="1">
        <v>17005.96</v>
      </c>
      <c r="AG105" s="1">
        <v>0</v>
      </c>
      <c r="AH105" s="1">
        <v>0</v>
      </c>
      <c r="AI105" s="1">
        <v>17005.96</v>
      </c>
      <c r="AJ105" s="1"/>
      <c r="AK105">
        <v>0</v>
      </c>
      <c r="AN105" t="s">
        <v>797</v>
      </c>
      <c r="AO105" t="s">
        <v>796</v>
      </c>
      <c r="AP105" s="1">
        <v>8502.98</v>
      </c>
      <c r="AQ105" s="2"/>
      <c r="AS105" s="1">
        <v>8592.26</v>
      </c>
      <c r="AT105" s="3">
        <v>46022</v>
      </c>
      <c r="AU105" s="1"/>
      <c r="AV105" s="1"/>
      <c r="AX105" t="s">
        <v>2</v>
      </c>
      <c r="AY105" s="1">
        <v>0</v>
      </c>
      <c r="AZ105" s="1">
        <v>0</v>
      </c>
      <c r="BA105" s="1" t="s">
        <v>0</v>
      </c>
      <c r="BB105" t="s">
        <v>1</v>
      </c>
      <c r="BC105" t="s">
        <v>0</v>
      </c>
    </row>
    <row r="106" spans="1:55" x14ac:dyDescent="0.35">
      <c r="A106" t="s">
        <v>848</v>
      </c>
      <c r="B106">
        <v>75097</v>
      </c>
      <c r="C106" t="s">
        <v>847</v>
      </c>
      <c r="D106" t="s">
        <v>20</v>
      </c>
      <c r="E106" t="s">
        <v>802</v>
      </c>
      <c r="F106" t="s">
        <v>139</v>
      </c>
      <c r="G106" t="s">
        <v>17</v>
      </c>
      <c r="H106" t="s">
        <v>16</v>
      </c>
      <c r="I106" t="s">
        <v>15</v>
      </c>
      <c r="J106" t="s">
        <v>846</v>
      </c>
      <c r="K106" t="s">
        <v>33</v>
      </c>
      <c r="L106" t="s">
        <v>845</v>
      </c>
      <c r="M106" t="s">
        <v>11</v>
      </c>
      <c r="N106" t="s">
        <v>798</v>
      </c>
      <c r="O106" t="s">
        <v>42</v>
      </c>
      <c r="P106" t="s">
        <v>8</v>
      </c>
      <c r="Q106" t="s">
        <v>8</v>
      </c>
      <c r="R106" t="s">
        <v>7</v>
      </c>
      <c r="T106" s="2"/>
      <c r="U106" s="2">
        <v>45952</v>
      </c>
      <c r="V106" s="2">
        <v>45709</v>
      </c>
      <c r="W106" s="1">
        <v>6694.52</v>
      </c>
      <c r="X106"/>
      <c r="Y106" t="s">
        <v>200</v>
      </c>
      <c r="Z106" t="s">
        <v>5</v>
      </c>
      <c r="AA106" s="2"/>
      <c r="AB106" s="1"/>
      <c r="AC106" s="1">
        <v>6694.52</v>
      </c>
      <c r="AD106" s="1">
        <v>0</v>
      </c>
      <c r="AE106" s="1">
        <v>0</v>
      </c>
      <c r="AF106" s="1">
        <v>6694.52</v>
      </c>
      <c r="AG106" s="1">
        <v>0</v>
      </c>
      <c r="AH106" s="1">
        <v>0</v>
      </c>
      <c r="AI106" s="1">
        <v>6694.52</v>
      </c>
      <c r="AJ106" s="1"/>
      <c r="AK106">
        <v>0</v>
      </c>
      <c r="AN106" t="s">
        <v>797</v>
      </c>
      <c r="AO106" t="s">
        <v>796</v>
      </c>
      <c r="AP106" s="1">
        <v>3347.26</v>
      </c>
      <c r="AQ106" s="2"/>
      <c r="AS106" s="1">
        <v>3382.41</v>
      </c>
      <c r="AT106" s="3">
        <v>46022</v>
      </c>
      <c r="AU106" s="1"/>
      <c r="AV106" s="1"/>
      <c r="AX106" t="s">
        <v>2</v>
      </c>
      <c r="AY106" s="1">
        <v>0</v>
      </c>
      <c r="AZ106" s="1">
        <v>0</v>
      </c>
      <c r="BA106" s="1" t="s">
        <v>0</v>
      </c>
      <c r="BB106" t="s">
        <v>1</v>
      </c>
      <c r="BC106" t="s">
        <v>0</v>
      </c>
    </row>
    <row r="107" spans="1:55" x14ac:dyDescent="0.35">
      <c r="A107" t="s">
        <v>844</v>
      </c>
      <c r="B107">
        <v>75090</v>
      </c>
      <c r="C107" t="s">
        <v>843</v>
      </c>
      <c r="D107" t="s">
        <v>20</v>
      </c>
      <c r="E107" t="s">
        <v>802</v>
      </c>
      <c r="F107" t="s">
        <v>801</v>
      </c>
      <c r="G107" t="s">
        <v>17</v>
      </c>
      <c r="H107" t="s">
        <v>16</v>
      </c>
      <c r="I107" t="s">
        <v>15</v>
      </c>
      <c r="J107" t="s">
        <v>839</v>
      </c>
      <c r="K107" t="s">
        <v>33</v>
      </c>
      <c r="L107" t="s">
        <v>842</v>
      </c>
      <c r="M107" t="s">
        <v>11</v>
      </c>
      <c r="N107" t="s">
        <v>798</v>
      </c>
      <c r="O107" t="s">
        <v>42</v>
      </c>
      <c r="P107" t="s">
        <v>8</v>
      </c>
      <c r="Q107" t="s">
        <v>8</v>
      </c>
      <c r="R107" t="s">
        <v>7</v>
      </c>
      <c r="T107" s="2"/>
      <c r="U107" s="2">
        <v>45952</v>
      </c>
      <c r="V107" s="2">
        <v>45709</v>
      </c>
      <c r="W107" s="1">
        <v>7439.36</v>
      </c>
      <c r="X107"/>
      <c r="Y107" t="s">
        <v>200</v>
      </c>
      <c r="Z107" t="s">
        <v>5</v>
      </c>
      <c r="AA107" s="2"/>
      <c r="AB107" s="1"/>
      <c r="AC107" s="1">
        <v>7439.36</v>
      </c>
      <c r="AD107" s="1">
        <v>0</v>
      </c>
      <c r="AE107" s="1">
        <v>0</v>
      </c>
      <c r="AF107" s="1">
        <v>7439.36</v>
      </c>
      <c r="AG107" s="1">
        <v>0</v>
      </c>
      <c r="AH107" s="1">
        <v>0</v>
      </c>
      <c r="AI107" s="1">
        <v>7439.36</v>
      </c>
      <c r="AJ107" s="1"/>
      <c r="AK107">
        <v>0</v>
      </c>
      <c r="AN107" t="s">
        <v>797</v>
      </c>
      <c r="AO107" t="s">
        <v>796</v>
      </c>
      <c r="AP107" s="1">
        <v>3719.68</v>
      </c>
      <c r="AQ107" s="2"/>
      <c r="AS107" s="1">
        <v>3758.74</v>
      </c>
      <c r="AT107" s="3">
        <v>46022</v>
      </c>
      <c r="AU107" s="1"/>
      <c r="AV107" s="1"/>
      <c r="AX107" t="s">
        <v>2</v>
      </c>
      <c r="AY107" s="1">
        <v>0</v>
      </c>
      <c r="AZ107" s="1">
        <v>0</v>
      </c>
      <c r="BA107" s="1" t="s">
        <v>0</v>
      </c>
      <c r="BB107" t="s">
        <v>1</v>
      </c>
      <c r="BC107" t="s">
        <v>0</v>
      </c>
    </row>
    <row r="108" spans="1:55" x14ac:dyDescent="0.35">
      <c r="A108" t="s">
        <v>841</v>
      </c>
      <c r="B108">
        <v>75091</v>
      </c>
      <c r="C108" t="s">
        <v>840</v>
      </c>
      <c r="D108" t="s">
        <v>20</v>
      </c>
      <c r="E108" t="s">
        <v>802</v>
      </c>
      <c r="F108" t="s">
        <v>801</v>
      </c>
      <c r="G108" t="s">
        <v>17</v>
      </c>
      <c r="H108" t="s">
        <v>16</v>
      </c>
      <c r="I108" t="s">
        <v>746</v>
      </c>
      <c r="J108" t="s">
        <v>839</v>
      </c>
      <c r="K108" t="s">
        <v>33</v>
      </c>
      <c r="L108" t="s">
        <v>838</v>
      </c>
      <c r="M108" t="s">
        <v>11</v>
      </c>
      <c r="N108" t="s">
        <v>798</v>
      </c>
      <c r="O108" t="s">
        <v>42</v>
      </c>
      <c r="P108" t="s">
        <v>8</v>
      </c>
      <c r="Q108" t="s">
        <v>8</v>
      </c>
      <c r="R108" t="s">
        <v>7</v>
      </c>
      <c r="T108" s="2"/>
      <c r="U108" s="2">
        <v>45952</v>
      </c>
      <c r="V108" s="2">
        <v>45709</v>
      </c>
      <c r="W108" s="1">
        <v>4527.4799999999996</v>
      </c>
      <c r="X108"/>
      <c r="Y108" t="s">
        <v>200</v>
      </c>
      <c r="Z108" t="s">
        <v>5</v>
      </c>
      <c r="AA108" s="2"/>
      <c r="AB108" s="1"/>
      <c r="AC108" s="1">
        <v>4527.4799999999996</v>
      </c>
      <c r="AD108" s="1">
        <v>0</v>
      </c>
      <c r="AE108" s="1">
        <v>0</v>
      </c>
      <c r="AF108" s="1">
        <v>4527.4799999999996</v>
      </c>
      <c r="AG108" s="1">
        <v>0</v>
      </c>
      <c r="AH108" s="1">
        <v>0</v>
      </c>
      <c r="AI108" s="1">
        <v>4527.4799999999996</v>
      </c>
      <c r="AJ108" s="1"/>
      <c r="AK108">
        <v>0</v>
      </c>
      <c r="AN108" t="s">
        <v>797</v>
      </c>
      <c r="AO108" t="s">
        <v>796</v>
      </c>
      <c r="AP108" s="1">
        <v>2263.7399999999998</v>
      </c>
      <c r="AQ108" s="2"/>
      <c r="AS108" s="1">
        <v>2287.5100000000002</v>
      </c>
      <c r="AT108" s="3">
        <v>46022</v>
      </c>
      <c r="AU108" s="1"/>
      <c r="AV108" s="1"/>
      <c r="AX108" t="s">
        <v>2</v>
      </c>
      <c r="AY108" s="1">
        <v>0</v>
      </c>
      <c r="AZ108" s="1">
        <v>0</v>
      </c>
      <c r="BA108" s="1" t="s">
        <v>0</v>
      </c>
      <c r="BB108" t="s">
        <v>1</v>
      </c>
      <c r="BC108" t="s">
        <v>0</v>
      </c>
    </row>
    <row r="109" spans="1:55" x14ac:dyDescent="0.35">
      <c r="A109" t="s">
        <v>837</v>
      </c>
      <c r="B109">
        <v>75092</v>
      </c>
      <c r="C109" t="s">
        <v>836</v>
      </c>
      <c r="D109" t="s">
        <v>20</v>
      </c>
      <c r="E109" t="s">
        <v>802</v>
      </c>
      <c r="F109" t="s">
        <v>801</v>
      </c>
      <c r="G109" t="s">
        <v>17</v>
      </c>
      <c r="H109" t="s">
        <v>16</v>
      </c>
      <c r="I109" t="s">
        <v>746</v>
      </c>
      <c r="J109" t="s">
        <v>835</v>
      </c>
      <c r="K109" t="s">
        <v>33</v>
      </c>
      <c r="L109" t="s">
        <v>834</v>
      </c>
      <c r="M109" t="s">
        <v>11</v>
      </c>
      <c r="N109" t="s">
        <v>798</v>
      </c>
      <c r="O109" t="s">
        <v>42</v>
      </c>
      <c r="P109" t="s">
        <v>8</v>
      </c>
      <c r="Q109" t="s">
        <v>8</v>
      </c>
      <c r="R109" t="s">
        <v>7</v>
      </c>
      <c r="T109" s="2"/>
      <c r="U109" s="2">
        <v>45952</v>
      </c>
      <c r="V109" s="2">
        <v>45709</v>
      </c>
      <c r="W109" s="1">
        <v>11474.9</v>
      </c>
      <c r="X109"/>
      <c r="Y109" t="s">
        <v>200</v>
      </c>
      <c r="Z109" t="s">
        <v>5</v>
      </c>
      <c r="AA109" s="2"/>
      <c r="AB109" s="1"/>
      <c r="AC109" s="1">
        <v>11474.9</v>
      </c>
      <c r="AD109" s="1">
        <v>0</v>
      </c>
      <c r="AE109" s="1">
        <v>0</v>
      </c>
      <c r="AF109" s="1">
        <v>11474.9</v>
      </c>
      <c r="AG109" s="1">
        <v>0</v>
      </c>
      <c r="AH109" s="1">
        <v>0</v>
      </c>
      <c r="AI109" s="1">
        <v>11474.9</v>
      </c>
      <c r="AJ109" s="1"/>
      <c r="AK109">
        <v>0</v>
      </c>
      <c r="AN109" t="s">
        <v>797</v>
      </c>
      <c r="AO109" t="s">
        <v>796</v>
      </c>
      <c r="AP109" s="1">
        <v>5737.45</v>
      </c>
      <c r="AQ109" s="2"/>
      <c r="AS109" s="1">
        <v>5797.69</v>
      </c>
      <c r="AT109" s="3">
        <v>46022</v>
      </c>
      <c r="AU109" s="1"/>
      <c r="AV109" s="1"/>
      <c r="AX109" t="s">
        <v>2</v>
      </c>
      <c r="AY109" s="1">
        <v>0</v>
      </c>
      <c r="AZ109" s="1">
        <v>0</v>
      </c>
      <c r="BA109" s="1" t="s">
        <v>0</v>
      </c>
      <c r="BB109" t="s">
        <v>1</v>
      </c>
      <c r="BC109" t="s">
        <v>0</v>
      </c>
    </row>
    <row r="110" spans="1:55" x14ac:dyDescent="0.35">
      <c r="A110" t="s">
        <v>833</v>
      </c>
      <c r="B110">
        <v>75093</v>
      </c>
      <c r="C110" t="s">
        <v>832</v>
      </c>
      <c r="D110" t="s">
        <v>20</v>
      </c>
      <c r="E110" t="s">
        <v>802</v>
      </c>
      <c r="F110" t="s">
        <v>801</v>
      </c>
      <c r="G110" t="s">
        <v>17</v>
      </c>
      <c r="H110" t="s">
        <v>16</v>
      </c>
      <c r="I110" t="s">
        <v>15</v>
      </c>
      <c r="J110" t="s">
        <v>800</v>
      </c>
      <c r="K110" t="s">
        <v>33</v>
      </c>
      <c r="L110" t="s">
        <v>831</v>
      </c>
      <c r="M110" t="s">
        <v>11</v>
      </c>
      <c r="N110" t="s">
        <v>798</v>
      </c>
      <c r="O110" t="s">
        <v>42</v>
      </c>
      <c r="P110" t="s">
        <v>8</v>
      </c>
      <c r="Q110" t="s">
        <v>124</v>
      </c>
      <c r="R110" t="s">
        <v>7</v>
      </c>
      <c r="T110" s="2"/>
      <c r="U110" s="2">
        <v>45952</v>
      </c>
      <c r="V110" s="2">
        <v>45709</v>
      </c>
      <c r="W110" s="1">
        <v>5160.22</v>
      </c>
      <c r="X110"/>
      <c r="Y110" t="s">
        <v>200</v>
      </c>
      <c r="Z110" t="s">
        <v>5</v>
      </c>
      <c r="AA110" s="2"/>
      <c r="AB110" s="1"/>
      <c r="AC110" s="1">
        <v>5160.22</v>
      </c>
      <c r="AD110" s="1">
        <v>0</v>
      </c>
      <c r="AE110" s="1">
        <v>0</v>
      </c>
      <c r="AF110" s="1">
        <v>5160.22</v>
      </c>
      <c r="AG110" s="1">
        <v>0</v>
      </c>
      <c r="AH110" s="1">
        <v>0</v>
      </c>
      <c r="AI110" s="1">
        <v>5160.22</v>
      </c>
      <c r="AJ110" s="1"/>
      <c r="AK110">
        <v>0</v>
      </c>
      <c r="AN110" t="s">
        <v>797</v>
      </c>
      <c r="AO110" t="s">
        <v>796</v>
      </c>
      <c r="AP110" s="1">
        <v>2580.11</v>
      </c>
      <c r="AQ110" s="2"/>
      <c r="AS110" s="1">
        <v>2607.1999999999998</v>
      </c>
      <c r="AT110" s="3">
        <v>46022</v>
      </c>
      <c r="AU110" s="1"/>
      <c r="AV110" s="1"/>
      <c r="AX110" t="s">
        <v>2</v>
      </c>
      <c r="AY110" s="1">
        <v>0</v>
      </c>
      <c r="AZ110" s="1">
        <v>0</v>
      </c>
      <c r="BA110" s="1" t="s">
        <v>0</v>
      </c>
      <c r="BB110" t="s">
        <v>1</v>
      </c>
      <c r="BC110" t="s">
        <v>0</v>
      </c>
    </row>
    <row r="111" spans="1:55" x14ac:dyDescent="0.35">
      <c r="A111" t="s">
        <v>830</v>
      </c>
      <c r="B111">
        <v>75100</v>
      </c>
      <c r="C111" t="s">
        <v>829</v>
      </c>
      <c r="D111" t="s">
        <v>23</v>
      </c>
      <c r="E111" t="s">
        <v>828</v>
      </c>
      <c r="F111" t="s">
        <v>18</v>
      </c>
      <c r="G111" t="s">
        <v>17</v>
      </c>
      <c r="H111" t="s">
        <v>16</v>
      </c>
      <c r="I111" t="s">
        <v>15</v>
      </c>
      <c r="J111" t="s">
        <v>827</v>
      </c>
      <c r="K111" t="s">
        <v>13</v>
      </c>
      <c r="L111" t="s">
        <v>826</v>
      </c>
      <c r="M111" t="s">
        <v>705</v>
      </c>
      <c r="N111" t="s">
        <v>825</v>
      </c>
      <c r="O111" t="s">
        <v>9</v>
      </c>
      <c r="P111" t="s">
        <v>29</v>
      </c>
      <c r="Q111" t="s">
        <v>124</v>
      </c>
      <c r="R111" t="s">
        <v>824</v>
      </c>
      <c r="T111" s="2"/>
      <c r="U111" s="2">
        <v>45953</v>
      </c>
      <c r="V111" s="2">
        <v>45951</v>
      </c>
      <c r="W111" s="1">
        <v>611657.98</v>
      </c>
      <c r="X111">
        <v>305828.99</v>
      </c>
      <c r="Y111" t="s">
        <v>189</v>
      </c>
      <c r="Z111" t="s">
        <v>5</v>
      </c>
      <c r="AA111" s="2"/>
      <c r="AB111" s="1">
        <v>305828.99</v>
      </c>
      <c r="AC111" s="1">
        <v>0</v>
      </c>
      <c r="AD111" s="1">
        <v>611657.98</v>
      </c>
      <c r="AE111" s="1">
        <v>0</v>
      </c>
      <c r="AF111" s="1">
        <v>0</v>
      </c>
      <c r="AG111" s="1">
        <v>613492.96</v>
      </c>
      <c r="AH111" s="1">
        <v>0</v>
      </c>
      <c r="AI111" s="1">
        <v>613492.96</v>
      </c>
      <c r="AJ111" s="1"/>
      <c r="AK111">
        <v>0</v>
      </c>
      <c r="AN111" t="s">
        <v>823</v>
      </c>
      <c r="AO111" t="s">
        <v>822</v>
      </c>
      <c r="AP111" s="1">
        <v>305828.99</v>
      </c>
      <c r="AQ111" s="2"/>
      <c r="AS111" s="1">
        <v>632856.19999999995</v>
      </c>
      <c r="AT111" s="3">
        <v>46022</v>
      </c>
      <c r="AU111" s="1"/>
      <c r="AV111" s="1"/>
      <c r="AX111" t="s">
        <v>2</v>
      </c>
      <c r="AY111" s="1">
        <v>319805.40000000002</v>
      </c>
      <c r="AZ111" s="1">
        <v>305828.99</v>
      </c>
      <c r="BA111" s="1" t="s">
        <v>0</v>
      </c>
      <c r="BB111" t="s">
        <v>23</v>
      </c>
      <c r="BC111" t="s">
        <v>0</v>
      </c>
    </row>
    <row r="112" spans="1:55" x14ac:dyDescent="0.35">
      <c r="A112" t="s">
        <v>821</v>
      </c>
      <c r="B112">
        <v>75098</v>
      </c>
      <c r="C112" t="s">
        <v>820</v>
      </c>
      <c r="D112" t="s">
        <v>23</v>
      </c>
      <c r="E112" t="s">
        <v>819</v>
      </c>
      <c r="F112" t="s">
        <v>139</v>
      </c>
      <c r="G112" t="s">
        <v>17</v>
      </c>
      <c r="H112" t="s">
        <v>16</v>
      </c>
      <c r="I112" t="s">
        <v>15</v>
      </c>
      <c r="J112" t="s">
        <v>138</v>
      </c>
      <c r="K112" t="s">
        <v>33</v>
      </c>
      <c r="L112" t="s">
        <v>814</v>
      </c>
      <c r="M112" t="s">
        <v>136</v>
      </c>
      <c r="N112" t="s">
        <v>303</v>
      </c>
      <c r="O112" t="s">
        <v>42</v>
      </c>
      <c r="P112" t="s">
        <v>331</v>
      </c>
      <c r="Q112" t="s">
        <v>124</v>
      </c>
      <c r="R112" t="s">
        <v>28</v>
      </c>
      <c r="T112" s="2"/>
      <c r="U112" s="2">
        <v>45953</v>
      </c>
      <c r="V112" s="2">
        <v>45951</v>
      </c>
      <c r="W112" s="1">
        <v>40000</v>
      </c>
      <c r="X112">
        <v>20000</v>
      </c>
      <c r="Y112" t="s">
        <v>133</v>
      </c>
      <c r="Z112" t="s">
        <v>5</v>
      </c>
      <c r="AA112" s="2">
        <v>47027</v>
      </c>
      <c r="AB112" s="1">
        <v>20000</v>
      </c>
      <c r="AC112" s="1">
        <v>0</v>
      </c>
      <c r="AD112" s="1">
        <v>40000</v>
      </c>
      <c r="AE112" s="1">
        <v>0</v>
      </c>
      <c r="AF112" s="1">
        <v>0</v>
      </c>
      <c r="AG112" s="1">
        <v>40120</v>
      </c>
      <c r="AH112" s="1">
        <v>0</v>
      </c>
      <c r="AI112" s="1">
        <v>40120</v>
      </c>
      <c r="AJ112" s="1"/>
      <c r="AK112">
        <v>0</v>
      </c>
      <c r="AN112" t="s">
        <v>818</v>
      </c>
      <c r="AO112" t="s">
        <v>817</v>
      </c>
      <c r="AP112" s="1">
        <v>20000</v>
      </c>
      <c r="AQ112" s="2"/>
      <c r="AS112" s="1">
        <v>41253.33</v>
      </c>
      <c r="AT112" s="3">
        <v>46022</v>
      </c>
      <c r="AU112" s="1"/>
      <c r="AV112" s="1"/>
      <c r="AX112" t="s">
        <v>2</v>
      </c>
      <c r="AY112" s="1">
        <v>20793.330000000002</v>
      </c>
      <c r="AZ112" s="1">
        <v>20000</v>
      </c>
      <c r="BA112" s="1" t="s">
        <v>0</v>
      </c>
      <c r="BB112" t="s">
        <v>23</v>
      </c>
      <c r="BC112" t="s">
        <v>0</v>
      </c>
    </row>
    <row r="113" spans="1:55" x14ac:dyDescent="0.35">
      <c r="A113" t="s">
        <v>816</v>
      </c>
      <c r="B113">
        <v>75099</v>
      </c>
      <c r="C113" t="s">
        <v>815</v>
      </c>
      <c r="D113" t="s">
        <v>23</v>
      </c>
      <c r="E113" t="s">
        <v>527</v>
      </c>
      <c r="F113" t="s">
        <v>139</v>
      </c>
      <c r="G113" t="s">
        <v>17</v>
      </c>
      <c r="H113" t="s">
        <v>16</v>
      </c>
      <c r="I113" t="s">
        <v>15</v>
      </c>
      <c r="J113" t="s">
        <v>138</v>
      </c>
      <c r="K113" t="s">
        <v>33</v>
      </c>
      <c r="L113" t="s">
        <v>814</v>
      </c>
      <c r="M113" t="s">
        <v>136</v>
      </c>
      <c r="N113" t="s">
        <v>813</v>
      </c>
      <c r="O113" t="s">
        <v>42</v>
      </c>
      <c r="P113" t="s">
        <v>331</v>
      </c>
      <c r="Q113" t="s">
        <v>124</v>
      </c>
      <c r="R113" t="s">
        <v>28</v>
      </c>
      <c r="T113" s="2"/>
      <c r="U113" s="2">
        <v>45953</v>
      </c>
      <c r="V113" s="2">
        <v>45951</v>
      </c>
      <c r="W113" s="1">
        <v>40000</v>
      </c>
      <c r="X113">
        <v>20000</v>
      </c>
      <c r="Y113" t="s">
        <v>133</v>
      </c>
      <c r="Z113" t="s">
        <v>5</v>
      </c>
      <c r="AA113" s="2">
        <v>47027</v>
      </c>
      <c r="AB113" s="1">
        <v>20000</v>
      </c>
      <c r="AC113" s="1">
        <v>0</v>
      </c>
      <c r="AD113" s="1">
        <v>40000</v>
      </c>
      <c r="AE113" s="1">
        <v>0</v>
      </c>
      <c r="AF113" s="1">
        <v>0</v>
      </c>
      <c r="AG113" s="1">
        <v>40120</v>
      </c>
      <c r="AH113" s="1">
        <v>0</v>
      </c>
      <c r="AI113" s="1">
        <v>40120</v>
      </c>
      <c r="AJ113" s="1"/>
      <c r="AK113">
        <v>0</v>
      </c>
      <c r="AN113" t="s">
        <v>525</v>
      </c>
      <c r="AO113" t="s">
        <v>524</v>
      </c>
      <c r="AP113" s="1">
        <v>20000</v>
      </c>
      <c r="AQ113" s="2"/>
      <c r="AS113" s="1">
        <v>20793.349999999999</v>
      </c>
      <c r="AT113" s="3">
        <v>46022</v>
      </c>
      <c r="AU113" s="1"/>
      <c r="AV113" s="1"/>
      <c r="AX113" t="s">
        <v>2</v>
      </c>
      <c r="AY113" s="1">
        <v>20793.330000000002</v>
      </c>
      <c r="AZ113" s="1">
        <v>20000</v>
      </c>
      <c r="BA113" s="1" t="s">
        <v>0</v>
      </c>
      <c r="BB113" t="s">
        <v>23</v>
      </c>
      <c r="BC113" t="s">
        <v>0</v>
      </c>
    </row>
    <row r="114" spans="1:55" x14ac:dyDescent="0.35">
      <c r="A114" t="s">
        <v>812</v>
      </c>
      <c r="B114">
        <v>75101</v>
      </c>
      <c r="C114" t="s">
        <v>811</v>
      </c>
      <c r="D114" t="s">
        <v>279</v>
      </c>
      <c r="E114" t="s">
        <v>810</v>
      </c>
      <c r="F114" t="s">
        <v>153</v>
      </c>
      <c r="G114" t="s">
        <v>17</v>
      </c>
      <c r="H114" t="s">
        <v>276</v>
      </c>
      <c r="I114" t="s">
        <v>15</v>
      </c>
      <c r="J114" t="s">
        <v>180</v>
      </c>
      <c r="K114" t="s">
        <v>33</v>
      </c>
      <c r="L114" t="s">
        <v>809</v>
      </c>
      <c r="M114" t="s">
        <v>273</v>
      </c>
      <c r="N114" t="s">
        <v>808</v>
      </c>
      <c r="O114" t="s">
        <v>42</v>
      </c>
      <c r="P114" t="s">
        <v>29</v>
      </c>
      <c r="Q114" t="s">
        <v>124</v>
      </c>
      <c r="R114" t="s">
        <v>271</v>
      </c>
      <c r="T114" s="2"/>
      <c r="U114" s="2">
        <v>45954</v>
      </c>
      <c r="V114" s="2">
        <v>45951</v>
      </c>
      <c r="W114" s="1">
        <v>317246</v>
      </c>
      <c r="X114">
        <v>158623</v>
      </c>
      <c r="Y114" t="s">
        <v>270</v>
      </c>
      <c r="Z114" t="s">
        <v>5</v>
      </c>
      <c r="AA114" s="2"/>
      <c r="AB114" s="1"/>
      <c r="AC114" s="1">
        <v>0</v>
      </c>
      <c r="AD114" s="1">
        <v>317246</v>
      </c>
      <c r="AE114" s="1">
        <v>0</v>
      </c>
      <c r="AF114" s="1">
        <v>0</v>
      </c>
      <c r="AG114" s="1">
        <v>318197.74</v>
      </c>
      <c r="AH114" s="1">
        <v>0</v>
      </c>
      <c r="AI114" s="1">
        <v>318197.74</v>
      </c>
      <c r="AJ114" s="1"/>
      <c r="AK114">
        <v>0</v>
      </c>
      <c r="AL114" t="s">
        <v>807</v>
      </c>
      <c r="AM114" t="s">
        <v>807</v>
      </c>
      <c r="AN114" t="s">
        <v>806</v>
      </c>
      <c r="AO114" t="s">
        <v>805</v>
      </c>
      <c r="AP114" s="1">
        <v>158623</v>
      </c>
      <c r="AQ114" s="2"/>
      <c r="AS114" s="1">
        <v>328582.78000000003</v>
      </c>
      <c r="AT114" s="3">
        <v>46022</v>
      </c>
      <c r="AU114" s="1"/>
      <c r="AV114" s="1"/>
      <c r="AX114" t="s">
        <v>2</v>
      </c>
      <c r="AY114" s="1">
        <v>165763.16</v>
      </c>
      <c r="AZ114" s="1">
        <v>158623</v>
      </c>
      <c r="BA114" s="1" t="s">
        <v>0</v>
      </c>
      <c r="BB114" t="s">
        <v>266</v>
      </c>
      <c r="BC114" t="s">
        <v>0</v>
      </c>
    </row>
    <row r="115" spans="1:55" x14ac:dyDescent="0.35">
      <c r="A115" t="s">
        <v>804</v>
      </c>
      <c r="B115">
        <v>75102</v>
      </c>
      <c r="C115" t="s">
        <v>803</v>
      </c>
      <c r="D115" t="s">
        <v>20</v>
      </c>
      <c r="E115" t="s">
        <v>802</v>
      </c>
      <c r="F115" t="s">
        <v>801</v>
      </c>
      <c r="G115" t="s">
        <v>17</v>
      </c>
      <c r="H115" t="s">
        <v>16</v>
      </c>
      <c r="I115" t="s">
        <v>15</v>
      </c>
      <c r="J115" t="s">
        <v>800</v>
      </c>
      <c r="K115" t="s">
        <v>33</v>
      </c>
      <c r="L115" t="s">
        <v>799</v>
      </c>
      <c r="M115" t="s">
        <v>11</v>
      </c>
      <c r="N115" t="s">
        <v>798</v>
      </c>
      <c r="O115" t="s">
        <v>42</v>
      </c>
      <c r="P115" t="s">
        <v>8</v>
      </c>
      <c r="Q115" t="s">
        <v>8</v>
      </c>
      <c r="R115" t="s">
        <v>7</v>
      </c>
      <c r="T115" s="2"/>
      <c r="U115" s="2">
        <v>45957</v>
      </c>
      <c r="V115" s="2">
        <v>45708</v>
      </c>
      <c r="W115" s="1">
        <v>11195.82</v>
      </c>
      <c r="X115"/>
      <c r="Y115" t="s">
        <v>200</v>
      </c>
      <c r="Z115" t="s">
        <v>5</v>
      </c>
      <c r="AA115" s="2"/>
      <c r="AB115" s="1"/>
      <c r="AC115" s="1">
        <v>11195.82</v>
      </c>
      <c r="AD115" s="1">
        <v>0</v>
      </c>
      <c r="AE115" s="1">
        <v>0</v>
      </c>
      <c r="AF115" s="1">
        <v>11195.82</v>
      </c>
      <c r="AG115" s="1">
        <v>0</v>
      </c>
      <c r="AH115" s="1">
        <v>0</v>
      </c>
      <c r="AI115" s="1">
        <v>11195.82</v>
      </c>
      <c r="AJ115" s="1"/>
      <c r="AK115">
        <v>0</v>
      </c>
      <c r="AN115" t="s">
        <v>797</v>
      </c>
      <c r="AO115" t="s">
        <v>796</v>
      </c>
      <c r="AP115" s="1">
        <v>5597.91</v>
      </c>
      <c r="AQ115" s="2"/>
      <c r="AS115" s="1">
        <v>5656.69</v>
      </c>
      <c r="AT115" s="3">
        <v>46022</v>
      </c>
      <c r="AU115" s="1"/>
      <c r="AV115" s="1"/>
      <c r="AX115" t="s">
        <v>2</v>
      </c>
      <c r="AY115" s="1">
        <v>0</v>
      </c>
      <c r="AZ115" s="1">
        <v>0</v>
      </c>
      <c r="BA115" s="1" t="s">
        <v>0</v>
      </c>
      <c r="BB115" t="s">
        <v>1</v>
      </c>
      <c r="BC115" t="s">
        <v>0</v>
      </c>
    </row>
    <row r="116" spans="1:55" x14ac:dyDescent="0.35">
      <c r="A116" t="s">
        <v>795</v>
      </c>
      <c r="B116">
        <v>75107</v>
      </c>
      <c r="C116" t="s">
        <v>794</v>
      </c>
      <c r="D116" t="s">
        <v>20</v>
      </c>
      <c r="E116" t="s">
        <v>789</v>
      </c>
      <c r="F116" t="s">
        <v>788</v>
      </c>
      <c r="G116" t="s">
        <v>17</v>
      </c>
      <c r="H116" t="s">
        <v>181</v>
      </c>
      <c r="I116" t="s">
        <v>15</v>
      </c>
      <c r="J116" t="s">
        <v>180</v>
      </c>
      <c r="K116" t="s">
        <v>179</v>
      </c>
      <c r="L116" t="s">
        <v>787</v>
      </c>
      <c r="M116" t="s">
        <v>11</v>
      </c>
      <c r="N116" t="s">
        <v>786</v>
      </c>
      <c r="O116" t="s">
        <v>449</v>
      </c>
      <c r="P116" t="s">
        <v>8</v>
      </c>
      <c r="Q116" t="s">
        <v>8</v>
      </c>
      <c r="R116" t="s">
        <v>7</v>
      </c>
      <c r="T116" s="2"/>
      <c r="U116" s="2">
        <v>45959</v>
      </c>
      <c r="V116" s="2">
        <v>45950</v>
      </c>
      <c r="W116" s="1">
        <v>9924.82</v>
      </c>
      <c r="X116">
        <v>4962.41</v>
      </c>
      <c r="Y116" t="s">
        <v>200</v>
      </c>
      <c r="Z116" t="s">
        <v>5</v>
      </c>
      <c r="AA116" s="2"/>
      <c r="AB116" s="1">
        <v>4962.41</v>
      </c>
      <c r="AC116" s="1">
        <v>9924.82</v>
      </c>
      <c r="AD116" s="1">
        <v>0</v>
      </c>
      <c r="AE116" s="1">
        <v>0</v>
      </c>
      <c r="AF116" s="1">
        <v>9957.9</v>
      </c>
      <c r="AG116" s="1">
        <v>0</v>
      </c>
      <c r="AH116" s="1">
        <v>0</v>
      </c>
      <c r="AI116" s="1">
        <v>9957.9</v>
      </c>
      <c r="AJ116" s="1"/>
      <c r="AK116">
        <v>0</v>
      </c>
      <c r="AN116" t="s">
        <v>785</v>
      </c>
      <c r="AO116" t="s">
        <v>784</v>
      </c>
      <c r="AP116" s="1">
        <v>4962.41</v>
      </c>
      <c r="AQ116" s="2"/>
      <c r="AS116" s="1">
        <v>10092.549999999999</v>
      </c>
      <c r="AT116" s="3">
        <v>46022</v>
      </c>
      <c r="AU116" s="1"/>
      <c r="AV116" s="1"/>
      <c r="AX116" t="s">
        <v>2</v>
      </c>
      <c r="AY116" s="1">
        <v>5078.03</v>
      </c>
      <c r="AZ116" s="1">
        <v>4962.41</v>
      </c>
      <c r="BA116" s="1" t="s">
        <v>0</v>
      </c>
      <c r="BB116" t="s">
        <v>1</v>
      </c>
      <c r="BC116" t="s">
        <v>0</v>
      </c>
    </row>
    <row r="117" spans="1:55" x14ac:dyDescent="0.35">
      <c r="A117" t="s">
        <v>793</v>
      </c>
      <c r="B117">
        <v>75108</v>
      </c>
      <c r="C117" t="s">
        <v>792</v>
      </c>
      <c r="D117" t="s">
        <v>20</v>
      </c>
      <c r="E117" t="s">
        <v>789</v>
      </c>
      <c r="F117" t="s">
        <v>788</v>
      </c>
      <c r="G117" t="s">
        <v>17</v>
      </c>
      <c r="H117" t="s">
        <v>181</v>
      </c>
      <c r="I117" t="s">
        <v>15</v>
      </c>
      <c r="J117" t="s">
        <v>180</v>
      </c>
      <c r="K117" t="s">
        <v>179</v>
      </c>
      <c r="L117" t="s">
        <v>787</v>
      </c>
      <c r="M117" t="s">
        <v>11</v>
      </c>
      <c r="N117" t="s">
        <v>786</v>
      </c>
      <c r="O117" t="s">
        <v>449</v>
      </c>
      <c r="P117" t="s">
        <v>8</v>
      </c>
      <c r="Q117" t="s">
        <v>8</v>
      </c>
      <c r="R117" t="s">
        <v>7</v>
      </c>
      <c r="T117" s="2"/>
      <c r="U117" s="2">
        <v>45959</v>
      </c>
      <c r="V117" s="2">
        <v>45950</v>
      </c>
      <c r="W117" s="1">
        <v>9508.24</v>
      </c>
      <c r="X117">
        <v>4754.12</v>
      </c>
      <c r="Y117" t="s">
        <v>200</v>
      </c>
      <c r="Z117" t="s">
        <v>5</v>
      </c>
      <c r="AA117" s="2"/>
      <c r="AB117" s="1">
        <v>4754.12</v>
      </c>
      <c r="AC117" s="1">
        <v>9508.24</v>
      </c>
      <c r="AD117" s="1">
        <v>0</v>
      </c>
      <c r="AE117" s="1">
        <v>0</v>
      </c>
      <c r="AF117" s="1">
        <v>9539.94</v>
      </c>
      <c r="AG117" s="1">
        <v>0</v>
      </c>
      <c r="AH117" s="1">
        <v>0</v>
      </c>
      <c r="AI117" s="1">
        <v>9539.94</v>
      </c>
      <c r="AJ117" s="1"/>
      <c r="AK117">
        <v>0</v>
      </c>
      <c r="AN117" t="s">
        <v>785</v>
      </c>
      <c r="AO117" t="s">
        <v>784</v>
      </c>
      <c r="AP117" s="1">
        <v>4754.12</v>
      </c>
      <c r="AQ117" s="2"/>
      <c r="AS117" s="1">
        <v>9668.93</v>
      </c>
      <c r="AT117" s="3">
        <v>46022</v>
      </c>
      <c r="AU117" s="1"/>
      <c r="AV117" s="1"/>
      <c r="AX117" t="s">
        <v>2</v>
      </c>
      <c r="AY117" s="1">
        <v>4864.8900000000003</v>
      </c>
      <c r="AZ117" s="1">
        <v>4754.12</v>
      </c>
      <c r="BA117" s="1" t="s">
        <v>0</v>
      </c>
      <c r="BB117" t="s">
        <v>1</v>
      </c>
      <c r="BC117" t="s">
        <v>0</v>
      </c>
    </row>
    <row r="118" spans="1:55" x14ac:dyDescent="0.35">
      <c r="A118" t="s">
        <v>791</v>
      </c>
      <c r="B118">
        <v>75106</v>
      </c>
      <c r="C118" t="s">
        <v>790</v>
      </c>
      <c r="D118" t="s">
        <v>20</v>
      </c>
      <c r="E118" t="s">
        <v>789</v>
      </c>
      <c r="F118" t="s">
        <v>788</v>
      </c>
      <c r="G118" t="s">
        <v>17</v>
      </c>
      <c r="H118" t="s">
        <v>181</v>
      </c>
      <c r="I118" t="s">
        <v>15</v>
      </c>
      <c r="J118" t="s">
        <v>180</v>
      </c>
      <c r="K118" t="s">
        <v>179</v>
      </c>
      <c r="L118" t="s">
        <v>787</v>
      </c>
      <c r="M118" t="s">
        <v>11</v>
      </c>
      <c r="N118" t="s">
        <v>786</v>
      </c>
      <c r="O118" t="s">
        <v>449</v>
      </c>
      <c r="P118" t="s">
        <v>8</v>
      </c>
      <c r="Q118" t="s">
        <v>8</v>
      </c>
      <c r="R118" t="s">
        <v>7</v>
      </c>
      <c r="T118" s="2"/>
      <c r="U118" s="2">
        <v>45959</v>
      </c>
      <c r="V118" s="2">
        <v>45950</v>
      </c>
      <c r="W118" s="1">
        <v>9345.14</v>
      </c>
      <c r="X118">
        <v>4672.57</v>
      </c>
      <c r="Y118" t="s">
        <v>200</v>
      </c>
      <c r="Z118" t="s">
        <v>5</v>
      </c>
      <c r="AA118" s="2"/>
      <c r="AB118" s="1">
        <v>4672.57</v>
      </c>
      <c r="AC118" s="1">
        <v>9345.14</v>
      </c>
      <c r="AD118" s="1">
        <v>0</v>
      </c>
      <c r="AE118" s="1">
        <v>0</v>
      </c>
      <c r="AF118" s="1">
        <v>9376.2999999999993</v>
      </c>
      <c r="AG118" s="1">
        <v>0</v>
      </c>
      <c r="AH118" s="1">
        <v>0</v>
      </c>
      <c r="AI118" s="1">
        <v>9376.2999999999993</v>
      </c>
      <c r="AJ118" s="1"/>
      <c r="AK118">
        <v>0</v>
      </c>
      <c r="AN118" t="s">
        <v>785</v>
      </c>
      <c r="AO118" t="s">
        <v>784</v>
      </c>
      <c r="AP118" s="1">
        <v>4672.57</v>
      </c>
      <c r="AQ118" s="2"/>
      <c r="AS118" s="1">
        <v>9503.07</v>
      </c>
      <c r="AT118" s="3">
        <v>46022</v>
      </c>
      <c r="AU118" s="1"/>
      <c r="AV118" s="1"/>
      <c r="AX118" t="s">
        <v>2</v>
      </c>
      <c r="AY118" s="1">
        <v>4781.4399999999996</v>
      </c>
      <c r="AZ118" s="1">
        <v>4672.57</v>
      </c>
      <c r="BA118" s="1" t="s">
        <v>0</v>
      </c>
      <c r="BB118" t="s">
        <v>1</v>
      </c>
      <c r="BC118" t="s">
        <v>0</v>
      </c>
    </row>
    <row r="119" spans="1:55" x14ac:dyDescent="0.35">
      <c r="A119" t="s">
        <v>783</v>
      </c>
      <c r="B119">
        <v>75109</v>
      </c>
      <c r="C119" t="s">
        <v>782</v>
      </c>
      <c r="D119" t="s">
        <v>23</v>
      </c>
      <c r="E119" t="s">
        <v>781</v>
      </c>
      <c r="F119" t="s">
        <v>18</v>
      </c>
      <c r="G119" t="s">
        <v>17</v>
      </c>
      <c r="H119" t="s">
        <v>16</v>
      </c>
      <c r="I119" t="s">
        <v>746</v>
      </c>
      <c r="J119" t="s">
        <v>773</v>
      </c>
      <c r="K119" t="s">
        <v>13</v>
      </c>
      <c r="L119" t="s">
        <v>780</v>
      </c>
      <c r="M119" t="s">
        <v>215</v>
      </c>
      <c r="N119" t="s">
        <v>149</v>
      </c>
      <c r="O119" t="s">
        <v>9</v>
      </c>
      <c r="P119" t="s">
        <v>29</v>
      </c>
      <c r="Q119" t="s">
        <v>124</v>
      </c>
      <c r="R119" t="s">
        <v>213</v>
      </c>
      <c r="T119" s="2"/>
      <c r="U119" s="2">
        <v>45960</v>
      </c>
      <c r="V119" s="2">
        <v>45445</v>
      </c>
      <c r="W119" s="1">
        <v>549463.07999999996</v>
      </c>
      <c r="X119">
        <v>274731.53999999998</v>
      </c>
      <c r="Y119" t="s">
        <v>6</v>
      </c>
      <c r="Z119" t="s">
        <v>5</v>
      </c>
      <c r="AA119" s="2">
        <v>46692</v>
      </c>
      <c r="AB119" s="1">
        <v>274731.53999999998</v>
      </c>
      <c r="AC119" s="1">
        <v>0</v>
      </c>
      <c r="AD119" s="1">
        <v>549463.07999999996</v>
      </c>
      <c r="AE119" s="1">
        <v>0</v>
      </c>
      <c r="AF119" s="1">
        <v>0</v>
      </c>
      <c r="AG119" s="1">
        <v>680999.4</v>
      </c>
      <c r="AH119" s="1">
        <v>0</v>
      </c>
      <c r="AI119" s="1">
        <v>680999.4</v>
      </c>
      <c r="AJ119" s="1"/>
      <c r="AK119">
        <v>0</v>
      </c>
      <c r="AL119" t="s">
        <v>779</v>
      </c>
      <c r="AM119" t="s">
        <v>779</v>
      </c>
      <c r="AN119" t="s">
        <v>778</v>
      </c>
      <c r="AO119" t="s">
        <v>777</v>
      </c>
      <c r="AP119" s="1">
        <v>274731.53999999998</v>
      </c>
      <c r="AQ119" s="2"/>
      <c r="AS119" s="1">
        <v>633818.15</v>
      </c>
      <c r="AT119" s="3">
        <v>46022</v>
      </c>
      <c r="AU119" s="1"/>
      <c r="AV119" s="1"/>
      <c r="AX119" t="s">
        <v>2</v>
      </c>
      <c r="AY119" s="1">
        <v>287286.78999999998</v>
      </c>
      <c r="AZ119" s="1">
        <v>274731.53999999998</v>
      </c>
      <c r="BA119" s="1" t="s">
        <v>0</v>
      </c>
      <c r="BB119" t="s">
        <v>23</v>
      </c>
      <c r="BC119" t="s">
        <v>0</v>
      </c>
    </row>
    <row r="120" spans="1:55" x14ac:dyDescent="0.35">
      <c r="A120" t="s">
        <v>776</v>
      </c>
      <c r="B120">
        <v>75110</v>
      </c>
      <c r="C120" t="s">
        <v>775</v>
      </c>
      <c r="D120" t="s">
        <v>23</v>
      </c>
      <c r="E120" t="s">
        <v>774</v>
      </c>
      <c r="F120" t="s">
        <v>18</v>
      </c>
      <c r="G120" t="s">
        <v>17</v>
      </c>
      <c r="H120" t="s">
        <v>16</v>
      </c>
      <c r="I120" t="s">
        <v>15</v>
      </c>
      <c r="J120" t="s">
        <v>773</v>
      </c>
      <c r="K120" t="s">
        <v>763</v>
      </c>
      <c r="L120" t="s">
        <v>772</v>
      </c>
      <c r="M120" t="s">
        <v>215</v>
      </c>
      <c r="N120" t="s">
        <v>658</v>
      </c>
      <c r="O120" t="s">
        <v>9</v>
      </c>
      <c r="P120" t="s">
        <v>29</v>
      </c>
      <c r="Q120" t="s">
        <v>124</v>
      </c>
      <c r="R120" t="s">
        <v>213</v>
      </c>
      <c r="T120" s="2"/>
      <c r="U120" s="2">
        <v>45960</v>
      </c>
      <c r="V120" s="2">
        <v>45958</v>
      </c>
      <c r="W120" s="1">
        <v>482057.6</v>
      </c>
      <c r="X120"/>
      <c r="Y120" t="s">
        <v>6</v>
      </c>
      <c r="Z120" t="s">
        <v>5</v>
      </c>
      <c r="AA120" s="2">
        <v>46692</v>
      </c>
      <c r="AB120" s="1">
        <v>24102.880000000001</v>
      </c>
      <c r="AC120" s="1">
        <v>0</v>
      </c>
      <c r="AD120" s="1">
        <v>482057.6</v>
      </c>
      <c r="AE120" s="1">
        <v>0</v>
      </c>
      <c r="AF120" s="1"/>
      <c r="AG120" s="1"/>
      <c r="AH120" s="1"/>
      <c r="AI120" s="1"/>
      <c r="AJ120" s="1"/>
      <c r="AK120">
        <v>0</v>
      </c>
      <c r="AL120" t="s">
        <v>771</v>
      </c>
      <c r="AM120" t="s">
        <v>771</v>
      </c>
      <c r="AN120" t="s">
        <v>770</v>
      </c>
      <c r="AO120" t="s">
        <v>769</v>
      </c>
      <c r="AP120" s="1">
        <v>241028.8</v>
      </c>
      <c r="AQ120" s="2"/>
      <c r="AS120" s="1">
        <v>271362.07</v>
      </c>
      <c r="AT120" s="3">
        <v>46022</v>
      </c>
      <c r="AU120" s="1"/>
      <c r="AV120" s="1"/>
      <c r="AX120" t="s">
        <v>2</v>
      </c>
      <c r="AY120" s="1">
        <v>25204.38</v>
      </c>
      <c r="AZ120" s="1">
        <v>24102.880000000001</v>
      </c>
      <c r="BA120" s="1" t="s">
        <v>0</v>
      </c>
      <c r="BB120" t="s">
        <v>23</v>
      </c>
      <c r="BC120" t="s">
        <v>0</v>
      </c>
    </row>
    <row r="121" spans="1:55" x14ac:dyDescent="0.35">
      <c r="A121" t="s">
        <v>768</v>
      </c>
      <c r="B121">
        <v>75112</v>
      </c>
      <c r="C121" t="s">
        <v>767</v>
      </c>
      <c r="D121" t="s">
        <v>20</v>
      </c>
      <c r="E121" t="s">
        <v>96</v>
      </c>
      <c r="F121" t="s">
        <v>77</v>
      </c>
      <c r="G121" t="s">
        <v>17</v>
      </c>
      <c r="H121" t="s">
        <v>16</v>
      </c>
      <c r="I121" t="s">
        <v>746</v>
      </c>
      <c r="J121" t="s">
        <v>766</v>
      </c>
      <c r="K121" t="s">
        <v>13</v>
      </c>
      <c r="M121" t="s">
        <v>11</v>
      </c>
      <c r="N121" t="s">
        <v>94</v>
      </c>
      <c r="O121" t="s">
        <v>9</v>
      </c>
      <c r="P121" t="s">
        <v>8</v>
      </c>
      <c r="Q121" t="s">
        <v>124</v>
      </c>
      <c r="R121" t="s">
        <v>74</v>
      </c>
      <c r="T121" s="2"/>
      <c r="U121" s="2">
        <v>45960</v>
      </c>
      <c r="V121" s="2">
        <v>45955</v>
      </c>
      <c r="W121" s="1">
        <v>42312</v>
      </c>
      <c r="X121"/>
      <c r="Y121" t="s">
        <v>200</v>
      </c>
      <c r="Z121" t="s">
        <v>5</v>
      </c>
      <c r="AA121" s="2"/>
      <c r="AB121" s="1"/>
      <c r="AC121" s="1">
        <v>42312</v>
      </c>
      <c r="AD121" s="1">
        <v>0</v>
      </c>
      <c r="AE121" s="1">
        <v>0</v>
      </c>
      <c r="AF121" s="1">
        <v>42312</v>
      </c>
      <c r="AG121" s="1">
        <v>0</v>
      </c>
      <c r="AH121" s="1">
        <v>0</v>
      </c>
      <c r="AI121" s="1">
        <v>42312</v>
      </c>
      <c r="AJ121" s="1"/>
      <c r="AK121">
        <v>0</v>
      </c>
      <c r="AN121" t="s">
        <v>91</v>
      </c>
      <c r="AO121" t="s">
        <v>90</v>
      </c>
      <c r="AP121" s="1">
        <v>21156</v>
      </c>
      <c r="AQ121" s="2"/>
      <c r="AS121" s="1">
        <v>43027.07</v>
      </c>
      <c r="AT121" s="3">
        <v>46022</v>
      </c>
      <c r="AU121" s="1"/>
      <c r="AV121" s="1"/>
      <c r="AX121" t="s">
        <v>2</v>
      </c>
      <c r="AY121" s="1">
        <v>21648.93</v>
      </c>
      <c r="AZ121" s="1">
        <v>21156</v>
      </c>
      <c r="BA121" s="1" t="s">
        <v>0</v>
      </c>
      <c r="BB121" t="s">
        <v>1</v>
      </c>
      <c r="BC121" t="s">
        <v>0</v>
      </c>
    </row>
    <row r="122" spans="1:55" x14ac:dyDescent="0.35">
      <c r="A122" t="s">
        <v>765</v>
      </c>
      <c r="B122">
        <v>75116</v>
      </c>
      <c r="C122" t="s">
        <v>764</v>
      </c>
      <c r="D122" t="s">
        <v>20</v>
      </c>
      <c r="E122" t="s">
        <v>96</v>
      </c>
      <c r="F122" t="s">
        <v>77</v>
      </c>
      <c r="G122" t="s">
        <v>17</v>
      </c>
      <c r="H122" t="s">
        <v>16</v>
      </c>
      <c r="I122" t="s">
        <v>15</v>
      </c>
      <c r="J122" t="s">
        <v>180</v>
      </c>
      <c r="K122" t="s">
        <v>763</v>
      </c>
      <c r="L122" t="s">
        <v>762</v>
      </c>
      <c r="M122" t="s">
        <v>11</v>
      </c>
      <c r="N122" t="s">
        <v>256</v>
      </c>
      <c r="O122" t="s">
        <v>9</v>
      </c>
      <c r="P122" t="s">
        <v>8</v>
      </c>
      <c r="Q122" t="s">
        <v>124</v>
      </c>
      <c r="R122" t="s">
        <v>7</v>
      </c>
      <c r="T122" s="2"/>
      <c r="U122" s="2">
        <v>45960</v>
      </c>
      <c r="V122" s="2">
        <v>45961</v>
      </c>
      <c r="W122" s="1">
        <v>35140</v>
      </c>
      <c r="X122"/>
      <c r="Y122" t="s">
        <v>200</v>
      </c>
      <c r="Z122" t="s">
        <v>5</v>
      </c>
      <c r="AA122" s="2"/>
      <c r="AB122" s="1"/>
      <c r="AC122" s="1">
        <v>35140</v>
      </c>
      <c r="AD122" s="1">
        <v>0</v>
      </c>
      <c r="AE122" s="1">
        <v>0</v>
      </c>
      <c r="AF122" s="1"/>
      <c r="AG122" s="1"/>
      <c r="AH122" s="1"/>
      <c r="AI122" s="1"/>
      <c r="AJ122" s="1"/>
      <c r="AK122">
        <v>0</v>
      </c>
      <c r="AN122" t="s">
        <v>91</v>
      </c>
      <c r="AO122" t="s">
        <v>90</v>
      </c>
      <c r="AP122" s="1">
        <v>17570</v>
      </c>
      <c r="AQ122" s="2"/>
      <c r="AS122" s="1">
        <v>35733.870000000003</v>
      </c>
      <c r="AT122" s="3">
        <v>46022</v>
      </c>
      <c r="AU122" s="1"/>
      <c r="AV122" s="1"/>
      <c r="AX122" t="s">
        <v>2</v>
      </c>
      <c r="AY122" s="1">
        <v>17979.38</v>
      </c>
      <c r="AZ122" s="1">
        <v>17570</v>
      </c>
      <c r="BA122" s="1" t="s">
        <v>0</v>
      </c>
      <c r="BB122" t="s">
        <v>1</v>
      </c>
      <c r="BC122" t="s">
        <v>0</v>
      </c>
    </row>
    <row r="123" spans="1:55" x14ac:dyDescent="0.35">
      <c r="A123" t="s">
        <v>761</v>
      </c>
      <c r="B123">
        <v>75114</v>
      </c>
      <c r="C123" t="s">
        <v>760</v>
      </c>
      <c r="D123" t="s">
        <v>20</v>
      </c>
      <c r="E123" t="s">
        <v>96</v>
      </c>
      <c r="F123" t="s">
        <v>77</v>
      </c>
      <c r="G123" t="s">
        <v>17</v>
      </c>
      <c r="H123" t="s">
        <v>16</v>
      </c>
      <c r="I123" t="s">
        <v>746</v>
      </c>
      <c r="J123" t="s">
        <v>759</v>
      </c>
      <c r="K123" t="s">
        <v>13</v>
      </c>
      <c r="L123" t="s">
        <v>758</v>
      </c>
      <c r="M123" t="s">
        <v>11</v>
      </c>
      <c r="N123" t="s">
        <v>94</v>
      </c>
      <c r="O123" t="s">
        <v>9</v>
      </c>
      <c r="P123" t="s">
        <v>8</v>
      </c>
      <c r="Q123" t="s">
        <v>124</v>
      </c>
      <c r="R123" t="s">
        <v>7</v>
      </c>
      <c r="T123" s="2"/>
      <c r="U123" s="2">
        <v>45960</v>
      </c>
      <c r="V123" s="2">
        <v>45957</v>
      </c>
      <c r="W123" s="1">
        <v>32822</v>
      </c>
      <c r="X123"/>
      <c r="Y123" t="s">
        <v>200</v>
      </c>
      <c r="Z123" t="s">
        <v>5</v>
      </c>
      <c r="AA123" s="2"/>
      <c r="AB123" s="1"/>
      <c r="AC123" s="1">
        <v>32822</v>
      </c>
      <c r="AD123" s="1">
        <v>0</v>
      </c>
      <c r="AE123" s="1">
        <v>0</v>
      </c>
      <c r="AF123" s="1"/>
      <c r="AG123" s="1"/>
      <c r="AH123" s="1"/>
      <c r="AI123" s="1"/>
      <c r="AJ123" s="1"/>
      <c r="AK123">
        <v>0</v>
      </c>
      <c r="AN123" t="s">
        <v>91</v>
      </c>
      <c r="AO123" t="s">
        <v>90</v>
      </c>
      <c r="AP123" s="1">
        <v>16411</v>
      </c>
      <c r="AQ123" s="2"/>
      <c r="AS123" s="1">
        <v>33375.82</v>
      </c>
      <c r="AT123" s="3">
        <v>46022</v>
      </c>
      <c r="AU123" s="1"/>
      <c r="AV123" s="1"/>
      <c r="AX123" t="s">
        <v>2</v>
      </c>
      <c r="AY123" s="1">
        <v>16792.939999999999</v>
      </c>
      <c r="AZ123" s="1">
        <v>16410.57</v>
      </c>
      <c r="BA123" s="1" t="s">
        <v>0</v>
      </c>
      <c r="BB123" t="s">
        <v>1</v>
      </c>
      <c r="BC123" t="s">
        <v>0</v>
      </c>
    </row>
    <row r="124" spans="1:55" x14ac:dyDescent="0.35">
      <c r="A124" t="s">
        <v>757</v>
      </c>
      <c r="B124">
        <v>75113</v>
      </c>
      <c r="C124" t="s">
        <v>756</v>
      </c>
      <c r="D124" t="s">
        <v>20</v>
      </c>
      <c r="E124" t="s">
        <v>96</v>
      </c>
      <c r="F124" t="s">
        <v>77</v>
      </c>
      <c r="G124" t="s">
        <v>17</v>
      </c>
      <c r="H124" t="s">
        <v>16</v>
      </c>
      <c r="I124" t="s">
        <v>15</v>
      </c>
      <c r="K124" t="s">
        <v>13</v>
      </c>
      <c r="L124" t="s">
        <v>755</v>
      </c>
      <c r="M124" t="s">
        <v>11</v>
      </c>
      <c r="N124" t="s">
        <v>94</v>
      </c>
      <c r="O124" t="s">
        <v>9</v>
      </c>
      <c r="P124" t="s">
        <v>8</v>
      </c>
      <c r="Q124" t="s">
        <v>124</v>
      </c>
      <c r="R124" t="s">
        <v>7</v>
      </c>
      <c r="T124" s="2"/>
      <c r="U124" s="2">
        <v>45960</v>
      </c>
      <c r="V124" s="2">
        <v>45957</v>
      </c>
      <c r="W124" s="1">
        <v>27939.42</v>
      </c>
      <c r="X124"/>
      <c r="Y124" t="s">
        <v>200</v>
      </c>
      <c r="Z124" t="s">
        <v>5</v>
      </c>
      <c r="AA124" s="2"/>
      <c r="AB124" s="1"/>
      <c r="AC124" s="1">
        <v>27939.42</v>
      </c>
      <c r="AD124" s="1">
        <v>0</v>
      </c>
      <c r="AE124" s="1">
        <v>0</v>
      </c>
      <c r="AF124" s="1"/>
      <c r="AG124" s="1"/>
      <c r="AH124" s="1"/>
      <c r="AI124" s="1"/>
      <c r="AJ124" s="1"/>
      <c r="AK124">
        <v>0</v>
      </c>
      <c r="AN124" t="s">
        <v>91</v>
      </c>
      <c r="AO124" t="s">
        <v>90</v>
      </c>
      <c r="AP124" s="1">
        <v>13969.71</v>
      </c>
      <c r="AQ124" s="2"/>
      <c r="AS124" s="1">
        <v>28412.19</v>
      </c>
      <c r="AT124" s="3">
        <v>46022</v>
      </c>
      <c r="AU124" s="1"/>
      <c r="AV124" s="1"/>
      <c r="AX124" t="s">
        <v>2</v>
      </c>
      <c r="AY124" s="1">
        <v>14295.5</v>
      </c>
      <c r="AZ124" s="1">
        <v>13970</v>
      </c>
      <c r="BA124" s="1" t="s">
        <v>0</v>
      </c>
      <c r="BB124" t="s">
        <v>1</v>
      </c>
      <c r="BC124" t="s">
        <v>0</v>
      </c>
    </row>
    <row r="125" spans="1:55" x14ac:dyDescent="0.35">
      <c r="A125" t="s">
        <v>754</v>
      </c>
      <c r="B125">
        <v>75118</v>
      </c>
      <c r="C125" t="s">
        <v>753</v>
      </c>
      <c r="D125" t="s">
        <v>20</v>
      </c>
      <c r="E125" t="s">
        <v>227</v>
      </c>
      <c r="F125" t="s">
        <v>226</v>
      </c>
      <c r="G125" t="s">
        <v>17</v>
      </c>
      <c r="H125" t="s">
        <v>181</v>
      </c>
      <c r="I125" t="s">
        <v>15</v>
      </c>
      <c r="J125" t="s">
        <v>180</v>
      </c>
      <c r="K125" t="s">
        <v>179</v>
      </c>
      <c r="L125" t="s">
        <v>752</v>
      </c>
      <c r="M125" t="s">
        <v>751</v>
      </c>
      <c r="N125" t="s">
        <v>750</v>
      </c>
      <c r="O125" t="s">
        <v>175</v>
      </c>
      <c r="P125" t="s">
        <v>8</v>
      </c>
      <c r="Q125" t="s">
        <v>124</v>
      </c>
      <c r="R125" t="s">
        <v>7</v>
      </c>
      <c r="T125" s="2"/>
      <c r="U125" s="2">
        <v>45960</v>
      </c>
      <c r="V125" s="2">
        <v>45950</v>
      </c>
      <c r="W125" s="1">
        <v>21443.9</v>
      </c>
      <c r="X125"/>
      <c r="Y125" t="s">
        <v>6</v>
      </c>
      <c r="Z125" t="s">
        <v>5</v>
      </c>
      <c r="AA125" s="2">
        <v>46023</v>
      </c>
      <c r="AB125" s="1">
        <v>10721.95</v>
      </c>
      <c r="AC125" s="1">
        <v>21443.9</v>
      </c>
      <c r="AD125" s="1">
        <v>0</v>
      </c>
      <c r="AE125" s="1">
        <v>0</v>
      </c>
      <c r="AF125" s="1"/>
      <c r="AG125" s="1"/>
      <c r="AH125" s="1"/>
      <c r="AI125" s="1"/>
      <c r="AJ125" s="1"/>
      <c r="AK125">
        <v>0</v>
      </c>
      <c r="AL125" t="s">
        <v>222</v>
      </c>
      <c r="AM125" t="s">
        <v>222</v>
      </c>
      <c r="AN125" t="s">
        <v>221</v>
      </c>
      <c r="AO125" t="s">
        <v>220</v>
      </c>
      <c r="AP125" s="1">
        <v>10721.95</v>
      </c>
      <c r="AQ125" s="2"/>
      <c r="AS125" s="1">
        <v>22190.65</v>
      </c>
      <c r="AT125" s="3">
        <v>46022</v>
      </c>
      <c r="AU125" s="1"/>
      <c r="AV125" s="1"/>
      <c r="AX125" t="s">
        <v>2</v>
      </c>
      <c r="AY125" s="1">
        <v>11211.94</v>
      </c>
      <c r="AZ125" s="1">
        <v>10721.95</v>
      </c>
      <c r="BA125" s="1" t="s">
        <v>0</v>
      </c>
      <c r="BB125" t="s">
        <v>104</v>
      </c>
      <c r="BC125" t="s">
        <v>0</v>
      </c>
    </row>
    <row r="126" spans="1:55" x14ac:dyDescent="0.35">
      <c r="A126" t="s">
        <v>749</v>
      </c>
      <c r="B126">
        <v>75115</v>
      </c>
      <c r="C126" t="s">
        <v>748</v>
      </c>
      <c r="D126" t="s">
        <v>23</v>
      </c>
      <c r="E126" t="s">
        <v>747</v>
      </c>
      <c r="F126" t="s">
        <v>182</v>
      </c>
      <c r="G126" t="s">
        <v>17</v>
      </c>
      <c r="H126" t="s">
        <v>181</v>
      </c>
      <c r="I126" t="s">
        <v>746</v>
      </c>
      <c r="J126" t="s">
        <v>745</v>
      </c>
      <c r="K126" t="s">
        <v>179</v>
      </c>
      <c r="M126" t="s">
        <v>215</v>
      </c>
      <c r="N126" t="s">
        <v>468</v>
      </c>
      <c r="O126" t="s">
        <v>175</v>
      </c>
      <c r="P126" t="s">
        <v>29</v>
      </c>
      <c r="Q126" t="s">
        <v>124</v>
      </c>
      <c r="R126" t="s">
        <v>148</v>
      </c>
      <c r="T126" s="2"/>
      <c r="U126" s="2">
        <v>45960</v>
      </c>
      <c r="V126" s="2">
        <v>45946</v>
      </c>
      <c r="W126" s="1">
        <v>2000</v>
      </c>
      <c r="X126"/>
      <c r="Y126" t="s">
        <v>147</v>
      </c>
      <c r="Z126" t="s">
        <v>5</v>
      </c>
      <c r="AA126" s="2">
        <v>1</v>
      </c>
      <c r="AB126" s="1">
        <v>0.03</v>
      </c>
      <c r="AC126" s="1">
        <v>0</v>
      </c>
      <c r="AD126" s="1">
        <v>2000</v>
      </c>
      <c r="AE126" s="1">
        <v>0</v>
      </c>
      <c r="AF126" s="1"/>
      <c r="AG126" s="1"/>
      <c r="AH126" s="1"/>
      <c r="AI126" s="1"/>
      <c r="AJ126" s="1"/>
      <c r="AK126">
        <v>0</v>
      </c>
      <c r="AL126" t="s">
        <v>744</v>
      </c>
      <c r="AM126" t="s">
        <v>744</v>
      </c>
      <c r="AN126" t="s">
        <v>743</v>
      </c>
      <c r="AO126" t="s">
        <v>742</v>
      </c>
      <c r="AP126" s="1">
        <v>1000</v>
      </c>
      <c r="AQ126" s="2"/>
      <c r="AS126" s="1">
        <v>1025.31</v>
      </c>
      <c r="AT126" s="3">
        <v>46022</v>
      </c>
      <c r="AU126" s="1"/>
      <c r="AV126" s="1"/>
      <c r="AX126" t="s">
        <v>2</v>
      </c>
      <c r="AY126" s="1">
        <v>0.03</v>
      </c>
      <c r="AZ126" s="1">
        <v>0.03</v>
      </c>
      <c r="BA126" s="1" t="s">
        <v>0</v>
      </c>
      <c r="BB126" t="s">
        <v>23</v>
      </c>
      <c r="BC126" t="s">
        <v>0</v>
      </c>
    </row>
    <row r="127" spans="1:55" x14ac:dyDescent="0.35">
      <c r="A127" t="s">
        <v>741</v>
      </c>
      <c r="B127">
        <v>75111</v>
      </c>
      <c r="C127" t="s">
        <v>740</v>
      </c>
      <c r="D127" t="s">
        <v>20</v>
      </c>
      <c r="E127" t="s">
        <v>96</v>
      </c>
      <c r="F127" t="s">
        <v>77</v>
      </c>
      <c r="G127" t="s">
        <v>17</v>
      </c>
      <c r="H127" t="s">
        <v>16</v>
      </c>
      <c r="I127" t="s">
        <v>15</v>
      </c>
      <c r="J127" t="s">
        <v>739</v>
      </c>
      <c r="K127" t="s">
        <v>13</v>
      </c>
      <c r="L127" t="s">
        <v>738</v>
      </c>
      <c r="M127" t="s">
        <v>11</v>
      </c>
      <c r="N127" t="s">
        <v>737</v>
      </c>
      <c r="O127" t="s">
        <v>9</v>
      </c>
      <c r="P127" t="s">
        <v>8</v>
      </c>
      <c r="Q127" t="s">
        <v>124</v>
      </c>
      <c r="R127" t="s">
        <v>7</v>
      </c>
      <c r="T127" s="2"/>
      <c r="U127" s="2">
        <v>45960</v>
      </c>
      <c r="V127" s="2">
        <v>45959</v>
      </c>
      <c r="W127" s="1">
        <v>63360</v>
      </c>
      <c r="X127"/>
      <c r="Y127" t="s">
        <v>6</v>
      </c>
      <c r="Z127" t="s">
        <v>5</v>
      </c>
      <c r="AA127" s="2"/>
      <c r="AB127" s="1"/>
      <c r="AC127" s="1">
        <v>63360</v>
      </c>
      <c r="AD127" s="1">
        <v>0</v>
      </c>
      <c r="AE127" s="1">
        <v>0</v>
      </c>
      <c r="AF127" s="1"/>
      <c r="AG127" s="1"/>
      <c r="AH127" s="1"/>
      <c r="AI127" s="1"/>
      <c r="AJ127" s="1"/>
      <c r="AK127">
        <v>0</v>
      </c>
      <c r="AN127" t="s">
        <v>91</v>
      </c>
      <c r="AO127" t="s">
        <v>90</v>
      </c>
      <c r="AP127" s="1">
        <v>31679.94</v>
      </c>
      <c r="AQ127" s="2"/>
      <c r="AS127" s="1">
        <v>32012.639999999999</v>
      </c>
      <c r="AT127" s="3">
        <v>46022</v>
      </c>
      <c r="AU127" s="1"/>
      <c r="AV127" s="1"/>
      <c r="AX127" t="s">
        <v>2</v>
      </c>
      <c r="AY127" s="1">
        <v>0</v>
      </c>
      <c r="AZ127" s="1">
        <v>0</v>
      </c>
      <c r="BA127" s="1" t="s">
        <v>0</v>
      </c>
      <c r="BB127" t="s">
        <v>1</v>
      </c>
      <c r="BC127" t="s">
        <v>0</v>
      </c>
    </row>
    <row r="128" spans="1:55" x14ac:dyDescent="0.35">
      <c r="A128" t="s">
        <v>736</v>
      </c>
      <c r="B128">
        <v>75119</v>
      </c>
      <c r="C128" t="s">
        <v>735</v>
      </c>
      <c r="D128" t="s">
        <v>23</v>
      </c>
      <c r="E128" t="s">
        <v>734</v>
      </c>
      <c r="F128" t="s">
        <v>77</v>
      </c>
      <c r="G128" t="s">
        <v>17</v>
      </c>
      <c r="H128" t="s">
        <v>16</v>
      </c>
      <c r="I128" t="s">
        <v>15</v>
      </c>
      <c r="J128" t="s">
        <v>390</v>
      </c>
      <c r="K128" t="s">
        <v>33</v>
      </c>
      <c r="L128" t="s">
        <v>733</v>
      </c>
      <c r="M128" t="s">
        <v>732</v>
      </c>
      <c r="N128" t="s">
        <v>731</v>
      </c>
      <c r="O128" t="s">
        <v>42</v>
      </c>
      <c r="P128" t="s">
        <v>29</v>
      </c>
      <c r="Q128" t="s">
        <v>124</v>
      </c>
      <c r="R128" t="s">
        <v>730</v>
      </c>
      <c r="T128" s="2"/>
      <c r="U128" s="2">
        <v>45961</v>
      </c>
      <c r="V128" s="2">
        <v>45954</v>
      </c>
      <c r="W128" s="1">
        <v>105385.60000000001</v>
      </c>
      <c r="X128">
        <v>52692.800000000003</v>
      </c>
      <c r="Y128" t="s">
        <v>189</v>
      </c>
      <c r="Z128" t="s">
        <v>5</v>
      </c>
      <c r="AA128" s="2"/>
      <c r="AB128" s="1">
        <v>52692.800000000003</v>
      </c>
      <c r="AC128" s="1">
        <v>0</v>
      </c>
      <c r="AD128" s="1">
        <v>105385.60000000001</v>
      </c>
      <c r="AE128" s="1">
        <v>0</v>
      </c>
      <c r="AF128" s="1">
        <v>0</v>
      </c>
      <c r="AG128" s="1">
        <v>105596.38</v>
      </c>
      <c r="AH128" s="1">
        <v>0</v>
      </c>
      <c r="AI128" s="1">
        <v>105596.38</v>
      </c>
      <c r="AJ128" s="1"/>
      <c r="AK128">
        <v>0</v>
      </c>
      <c r="AN128" t="s">
        <v>729</v>
      </c>
      <c r="AO128" t="s">
        <v>728</v>
      </c>
      <c r="AP128" s="1">
        <v>52692.800000000003</v>
      </c>
      <c r="AQ128" s="2"/>
      <c r="AS128" s="1">
        <v>108634.99</v>
      </c>
      <c r="AT128" s="3">
        <v>46022</v>
      </c>
      <c r="AU128" s="1"/>
      <c r="AV128" s="1"/>
      <c r="AX128" t="s">
        <v>2</v>
      </c>
      <c r="AY128" s="1">
        <v>54782.95</v>
      </c>
      <c r="AZ128" s="1">
        <v>52692.800000000003</v>
      </c>
      <c r="BA128" s="1" t="s">
        <v>0</v>
      </c>
      <c r="BB128" t="s">
        <v>23</v>
      </c>
      <c r="BC128" t="s">
        <v>0</v>
      </c>
    </row>
    <row r="129" spans="1:55" x14ac:dyDescent="0.35">
      <c r="A129" t="s">
        <v>727</v>
      </c>
      <c r="B129">
        <v>75121</v>
      </c>
      <c r="C129" t="s">
        <v>726</v>
      </c>
      <c r="D129" t="s">
        <v>23</v>
      </c>
      <c r="E129" t="s">
        <v>725</v>
      </c>
      <c r="F129" t="s">
        <v>336</v>
      </c>
      <c r="G129" t="s">
        <v>17</v>
      </c>
      <c r="H129" t="s">
        <v>181</v>
      </c>
      <c r="I129" t="s">
        <v>15</v>
      </c>
      <c r="J129" t="s">
        <v>724</v>
      </c>
      <c r="K129" t="s">
        <v>179</v>
      </c>
      <c r="L129" t="s">
        <v>723</v>
      </c>
      <c r="M129" t="s">
        <v>202</v>
      </c>
      <c r="N129" t="s">
        <v>722</v>
      </c>
      <c r="O129" t="s">
        <v>175</v>
      </c>
      <c r="P129" t="s">
        <v>331</v>
      </c>
      <c r="Q129" t="s">
        <v>124</v>
      </c>
      <c r="R129" t="s">
        <v>28</v>
      </c>
      <c r="T129" s="2"/>
      <c r="U129" s="2">
        <v>45961</v>
      </c>
      <c r="V129" s="2">
        <v>45956</v>
      </c>
      <c r="W129" s="1">
        <v>80000</v>
      </c>
      <c r="X129">
        <v>40000</v>
      </c>
      <c r="Y129" t="s">
        <v>147</v>
      </c>
      <c r="Z129" t="s">
        <v>5</v>
      </c>
      <c r="AA129" s="2">
        <v>46174</v>
      </c>
      <c r="AB129" s="1">
        <v>40000</v>
      </c>
      <c r="AC129" s="1">
        <v>0</v>
      </c>
      <c r="AD129" s="1">
        <v>80000</v>
      </c>
      <c r="AE129" s="1">
        <v>0</v>
      </c>
      <c r="AF129" s="1">
        <v>0</v>
      </c>
      <c r="AG129" s="1">
        <v>80106.66</v>
      </c>
      <c r="AH129" s="1">
        <v>0</v>
      </c>
      <c r="AI129" s="1">
        <v>80106.66</v>
      </c>
      <c r="AJ129" s="1"/>
      <c r="AK129">
        <v>0</v>
      </c>
      <c r="AL129" t="s">
        <v>630</v>
      </c>
      <c r="AM129" t="s">
        <v>630</v>
      </c>
      <c r="AP129" s="1">
        <v>40000</v>
      </c>
      <c r="AQ129" s="2"/>
      <c r="AS129" s="1">
        <v>82705.850000000006</v>
      </c>
      <c r="AT129" s="3">
        <v>46022</v>
      </c>
      <c r="AU129" s="1"/>
      <c r="AV129" s="1"/>
      <c r="AX129" t="s">
        <v>2</v>
      </c>
      <c r="AY129" s="1">
        <v>41828</v>
      </c>
      <c r="AZ129" s="1">
        <v>40000</v>
      </c>
      <c r="BA129" s="1" t="s">
        <v>0</v>
      </c>
      <c r="BB129" t="s">
        <v>196</v>
      </c>
      <c r="BC129" t="s">
        <v>0</v>
      </c>
    </row>
    <row r="130" spans="1:55" x14ac:dyDescent="0.35">
      <c r="A130" t="s">
        <v>721</v>
      </c>
      <c r="B130">
        <v>75122</v>
      </c>
      <c r="C130" t="s">
        <v>720</v>
      </c>
      <c r="D130" t="s">
        <v>20</v>
      </c>
      <c r="E130" t="s">
        <v>96</v>
      </c>
      <c r="F130" t="s">
        <v>18</v>
      </c>
      <c r="G130" t="s">
        <v>17</v>
      </c>
      <c r="H130" t="s">
        <v>16</v>
      </c>
      <c r="I130" t="s">
        <v>15</v>
      </c>
      <c r="J130" t="s">
        <v>719</v>
      </c>
      <c r="K130" t="s">
        <v>13</v>
      </c>
      <c r="L130" t="s">
        <v>718</v>
      </c>
      <c r="M130" t="s">
        <v>11</v>
      </c>
      <c r="N130" t="s">
        <v>256</v>
      </c>
      <c r="O130" t="s">
        <v>9</v>
      </c>
      <c r="P130" t="s">
        <v>8</v>
      </c>
      <c r="Q130" t="s">
        <v>124</v>
      </c>
      <c r="R130" t="s">
        <v>7</v>
      </c>
      <c r="T130" s="2"/>
      <c r="U130" s="2">
        <v>45961</v>
      </c>
      <c r="V130" s="2">
        <v>45957</v>
      </c>
      <c r="W130" s="1">
        <v>30820</v>
      </c>
      <c r="X130"/>
      <c r="Y130" t="s">
        <v>200</v>
      </c>
      <c r="Z130" t="s">
        <v>5</v>
      </c>
      <c r="AA130" s="2"/>
      <c r="AB130" s="1"/>
      <c r="AC130" s="1">
        <v>30820</v>
      </c>
      <c r="AD130" s="1">
        <v>0</v>
      </c>
      <c r="AE130" s="1">
        <v>0</v>
      </c>
      <c r="AF130" s="1"/>
      <c r="AG130" s="1"/>
      <c r="AH130" s="1"/>
      <c r="AI130" s="1"/>
      <c r="AJ130" s="1"/>
      <c r="AK130">
        <v>0</v>
      </c>
      <c r="AN130" t="s">
        <v>91</v>
      </c>
      <c r="AO130" t="s">
        <v>90</v>
      </c>
      <c r="AP130" s="1">
        <v>15410</v>
      </c>
      <c r="AQ130" s="2"/>
      <c r="AS130" s="1">
        <v>31143.62</v>
      </c>
      <c r="AT130" s="3">
        <v>46022</v>
      </c>
      <c r="AU130" s="1"/>
      <c r="AV130" s="1"/>
      <c r="AX130" t="s">
        <v>2</v>
      </c>
      <c r="AY130" s="1">
        <v>0</v>
      </c>
      <c r="AZ130" s="1">
        <v>0</v>
      </c>
      <c r="BA130" s="1" t="s">
        <v>0</v>
      </c>
      <c r="BB130" t="s">
        <v>1</v>
      </c>
      <c r="BC130" t="s">
        <v>0</v>
      </c>
    </row>
    <row r="131" spans="1:55" x14ac:dyDescent="0.35">
      <c r="A131" t="s">
        <v>717</v>
      </c>
      <c r="B131">
        <v>75123</v>
      </c>
      <c r="C131" t="s">
        <v>716</v>
      </c>
      <c r="D131" t="s">
        <v>20</v>
      </c>
      <c r="E131" t="s">
        <v>715</v>
      </c>
      <c r="F131" t="s">
        <v>182</v>
      </c>
      <c r="G131" t="s">
        <v>17</v>
      </c>
      <c r="H131" t="s">
        <v>714</v>
      </c>
      <c r="I131" t="s">
        <v>15</v>
      </c>
      <c r="K131" t="s">
        <v>13</v>
      </c>
      <c r="L131" t="s">
        <v>713</v>
      </c>
      <c r="M131" t="s">
        <v>712</v>
      </c>
      <c r="N131" t="s">
        <v>711</v>
      </c>
      <c r="O131" t="s">
        <v>9</v>
      </c>
      <c r="P131" t="s">
        <v>8</v>
      </c>
      <c r="Q131" t="s">
        <v>124</v>
      </c>
      <c r="R131" t="s">
        <v>74</v>
      </c>
      <c r="T131" s="2"/>
      <c r="U131" s="2">
        <v>45965</v>
      </c>
      <c r="V131" s="2">
        <v>45964</v>
      </c>
      <c r="W131" s="1">
        <v>0.36</v>
      </c>
      <c r="X131"/>
      <c r="Y131" t="s">
        <v>200</v>
      </c>
      <c r="Z131" t="s">
        <v>5</v>
      </c>
      <c r="AA131" s="2"/>
      <c r="AB131" s="1"/>
      <c r="AC131" s="1">
        <v>0.36</v>
      </c>
      <c r="AD131" s="1">
        <v>0</v>
      </c>
      <c r="AE131" s="1">
        <v>0</v>
      </c>
      <c r="AF131" s="1"/>
      <c r="AG131" s="1"/>
      <c r="AH131" s="1"/>
      <c r="AI131" s="1"/>
      <c r="AJ131" s="1"/>
      <c r="AK131">
        <v>0</v>
      </c>
      <c r="AP131" s="1">
        <v>77203957.040000007</v>
      </c>
      <c r="AQ131" s="2"/>
      <c r="AS131" s="1">
        <v>0.18</v>
      </c>
      <c r="AT131" s="3">
        <v>46022</v>
      </c>
      <c r="AU131" s="1"/>
      <c r="AV131" s="1"/>
      <c r="AX131" t="s">
        <v>2</v>
      </c>
      <c r="AY131" s="1">
        <v>0</v>
      </c>
      <c r="AZ131" s="1">
        <v>0</v>
      </c>
      <c r="BA131" s="1" t="s">
        <v>0</v>
      </c>
      <c r="BB131" t="s">
        <v>104</v>
      </c>
      <c r="BC131" t="s">
        <v>0</v>
      </c>
    </row>
    <row r="132" spans="1:55" x14ac:dyDescent="0.35">
      <c r="A132" t="s">
        <v>710</v>
      </c>
      <c r="B132">
        <v>75126</v>
      </c>
      <c r="C132" t="s">
        <v>709</v>
      </c>
      <c r="D132" t="s">
        <v>23</v>
      </c>
      <c r="E132" t="s">
        <v>708</v>
      </c>
      <c r="F132" t="s">
        <v>77</v>
      </c>
      <c r="G132" t="s">
        <v>17</v>
      </c>
      <c r="H132" t="s">
        <v>16</v>
      </c>
      <c r="I132" t="s">
        <v>15</v>
      </c>
      <c r="J132" t="s">
        <v>707</v>
      </c>
      <c r="K132" t="s">
        <v>33</v>
      </c>
      <c r="L132" t="s">
        <v>706</v>
      </c>
      <c r="M132" t="s">
        <v>705</v>
      </c>
      <c r="N132" t="s">
        <v>201</v>
      </c>
      <c r="O132" t="s">
        <v>42</v>
      </c>
      <c r="P132" t="s">
        <v>29</v>
      </c>
      <c r="Q132" t="s">
        <v>124</v>
      </c>
      <c r="R132" t="s">
        <v>695</v>
      </c>
      <c r="T132" s="2"/>
      <c r="U132" s="2">
        <v>45971</v>
      </c>
      <c r="V132" s="2">
        <v>44985</v>
      </c>
      <c r="W132" s="1">
        <v>1283881.3600000001</v>
      </c>
      <c r="X132"/>
      <c r="Y132" t="s">
        <v>147</v>
      </c>
      <c r="Z132" t="s">
        <v>5</v>
      </c>
      <c r="AA132" s="2">
        <v>46296</v>
      </c>
      <c r="AB132" s="1">
        <v>641940.68000000005</v>
      </c>
      <c r="AC132" s="1">
        <v>0</v>
      </c>
      <c r="AD132" s="1">
        <v>1283881.3600000001</v>
      </c>
      <c r="AE132" s="1">
        <v>0</v>
      </c>
      <c r="AF132" s="1"/>
      <c r="AG132" s="1"/>
      <c r="AH132" s="1"/>
      <c r="AI132" s="1"/>
      <c r="AJ132" s="1"/>
      <c r="AK132">
        <v>0</v>
      </c>
      <c r="AL132" t="s">
        <v>704</v>
      </c>
      <c r="AM132" t="s">
        <v>704</v>
      </c>
      <c r="AN132" t="s">
        <v>703</v>
      </c>
      <c r="AO132" t="s">
        <v>702</v>
      </c>
      <c r="AP132" s="1">
        <v>641940.68000000005</v>
      </c>
      <c r="AQ132" s="2"/>
      <c r="AS132" s="1">
        <v>1610569.55</v>
      </c>
      <c r="AT132" s="3">
        <v>46022</v>
      </c>
      <c r="AU132" s="1"/>
      <c r="AV132" s="1"/>
      <c r="AX132" t="s">
        <v>2</v>
      </c>
      <c r="AY132" s="1">
        <v>667404.32999999996</v>
      </c>
      <c r="AZ132" s="1">
        <v>641940.68000000005</v>
      </c>
      <c r="BA132" s="1" t="s">
        <v>0</v>
      </c>
      <c r="BB132" t="s">
        <v>23</v>
      </c>
      <c r="BC132" t="s">
        <v>0</v>
      </c>
    </row>
    <row r="133" spans="1:55" x14ac:dyDescent="0.35">
      <c r="A133" t="s">
        <v>701</v>
      </c>
      <c r="B133">
        <v>75142</v>
      </c>
      <c r="C133" t="s">
        <v>700</v>
      </c>
      <c r="D133" t="s">
        <v>23</v>
      </c>
      <c r="E133" t="s">
        <v>699</v>
      </c>
      <c r="F133" t="s">
        <v>77</v>
      </c>
      <c r="G133" t="s">
        <v>17</v>
      </c>
      <c r="H133" t="s">
        <v>16</v>
      </c>
      <c r="I133" t="s">
        <v>15</v>
      </c>
      <c r="J133" t="s">
        <v>425</v>
      </c>
      <c r="K133" t="s">
        <v>33</v>
      </c>
      <c r="L133" t="s">
        <v>698</v>
      </c>
      <c r="M133" t="s">
        <v>697</v>
      </c>
      <c r="N133" t="s">
        <v>696</v>
      </c>
      <c r="O133" t="s">
        <v>42</v>
      </c>
      <c r="P133" t="s">
        <v>29</v>
      </c>
      <c r="Q133" t="s">
        <v>124</v>
      </c>
      <c r="R133" t="s">
        <v>695</v>
      </c>
      <c r="T133" s="2"/>
      <c r="U133" s="2">
        <v>45974</v>
      </c>
      <c r="V133" s="2">
        <v>45959</v>
      </c>
      <c r="W133" s="1">
        <v>737426.74</v>
      </c>
      <c r="X133">
        <v>368713.37</v>
      </c>
      <c r="Y133" t="s">
        <v>147</v>
      </c>
      <c r="Z133" t="s">
        <v>5</v>
      </c>
      <c r="AA133" s="2">
        <v>46327</v>
      </c>
      <c r="AB133" s="1">
        <v>368713.37</v>
      </c>
      <c r="AC133" s="1">
        <v>0</v>
      </c>
      <c r="AD133" s="1">
        <v>737426.74</v>
      </c>
      <c r="AE133" s="1">
        <v>0</v>
      </c>
      <c r="AF133" s="1"/>
      <c r="AG133" s="1"/>
      <c r="AH133" s="1"/>
      <c r="AI133" s="1"/>
      <c r="AJ133" s="1"/>
      <c r="AK133">
        <v>0</v>
      </c>
      <c r="AP133" s="1">
        <v>368713.37</v>
      </c>
      <c r="AQ133" s="2"/>
      <c r="AS133" s="1">
        <v>759549.54</v>
      </c>
      <c r="AT133" s="3">
        <v>46022</v>
      </c>
      <c r="AU133" s="1"/>
      <c r="AV133" s="1"/>
      <c r="AX133" t="s">
        <v>2</v>
      </c>
      <c r="AY133" s="1">
        <v>383339</v>
      </c>
      <c r="AZ133" s="1">
        <v>368713.37</v>
      </c>
      <c r="BA133" s="1" t="s">
        <v>0</v>
      </c>
      <c r="BB133" t="s">
        <v>23</v>
      </c>
      <c r="BC133" t="s">
        <v>0</v>
      </c>
    </row>
    <row r="134" spans="1:55" x14ac:dyDescent="0.35">
      <c r="A134" t="s">
        <v>694</v>
      </c>
      <c r="B134">
        <v>75139</v>
      </c>
      <c r="C134" t="s">
        <v>693</v>
      </c>
      <c r="D134" t="s">
        <v>23</v>
      </c>
      <c r="E134" t="s">
        <v>692</v>
      </c>
      <c r="F134" t="s">
        <v>139</v>
      </c>
      <c r="G134" t="s">
        <v>17</v>
      </c>
      <c r="H134" t="s">
        <v>16</v>
      </c>
      <c r="I134" t="s">
        <v>15</v>
      </c>
      <c r="J134" t="s">
        <v>138</v>
      </c>
      <c r="K134" t="s">
        <v>33</v>
      </c>
      <c r="L134" t="s">
        <v>691</v>
      </c>
      <c r="M134" t="s">
        <v>136</v>
      </c>
      <c r="N134" t="s">
        <v>303</v>
      </c>
      <c r="O134" t="s">
        <v>42</v>
      </c>
      <c r="P134" t="s">
        <v>29</v>
      </c>
      <c r="Q134" t="s">
        <v>124</v>
      </c>
      <c r="R134" t="s">
        <v>28</v>
      </c>
      <c r="T134" s="2"/>
      <c r="U134" s="2">
        <v>45974</v>
      </c>
      <c r="V134" s="2">
        <v>45968</v>
      </c>
      <c r="W134" s="1">
        <v>40000</v>
      </c>
      <c r="X134">
        <v>20000</v>
      </c>
      <c r="Y134" t="s">
        <v>133</v>
      </c>
      <c r="Z134" t="s">
        <v>5</v>
      </c>
      <c r="AA134" s="2">
        <v>46692</v>
      </c>
      <c r="AB134" s="1">
        <v>20000</v>
      </c>
      <c r="AC134" s="1">
        <v>0</v>
      </c>
      <c r="AD134" s="1">
        <v>40000</v>
      </c>
      <c r="AE134" s="1">
        <v>0</v>
      </c>
      <c r="AF134" s="1"/>
      <c r="AG134" s="1"/>
      <c r="AH134" s="1"/>
      <c r="AI134" s="1"/>
      <c r="AJ134" s="1"/>
      <c r="AK134">
        <v>0</v>
      </c>
      <c r="AL134" t="s">
        <v>132</v>
      </c>
      <c r="AM134" t="s">
        <v>132</v>
      </c>
      <c r="AP134" s="1">
        <v>20000</v>
      </c>
      <c r="AQ134" s="2"/>
      <c r="AS134" s="1">
        <v>41146.660000000003</v>
      </c>
      <c r="AT134" s="3">
        <v>46022</v>
      </c>
      <c r="AU134" s="1"/>
      <c r="AV134" s="1"/>
      <c r="AX134" t="s">
        <v>2</v>
      </c>
      <c r="AY134" s="1">
        <v>20793.330000000002</v>
      </c>
      <c r="AZ134" s="1">
        <v>20000</v>
      </c>
      <c r="BA134" s="1" t="s">
        <v>0</v>
      </c>
      <c r="BB134" t="s">
        <v>23</v>
      </c>
      <c r="BC134" t="s">
        <v>0</v>
      </c>
    </row>
    <row r="135" spans="1:55" x14ac:dyDescent="0.35">
      <c r="A135" t="s">
        <v>690</v>
      </c>
      <c r="B135">
        <v>75141</v>
      </c>
      <c r="C135" t="s">
        <v>689</v>
      </c>
      <c r="D135" t="s">
        <v>457</v>
      </c>
      <c r="E135" t="s">
        <v>685</v>
      </c>
      <c r="F135" t="s">
        <v>226</v>
      </c>
      <c r="G135" t="s">
        <v>17</v>
      </c>
      <c r="H135" t="s">
        <v>181</v>
      </c>
      <c r="I135" t="s">
        <v>15</v>
      </c>
      <c r="J135" t="s">
        <v>180</v>
      </c>
      <c r="K135" t="s">
        <v>179</v>
      </c>
      <c r="L135" t="s">
        <v>688</v>
      </c>
      <c r="M135" t="s">
        <v>177</v>
      </c>
      <c r="N135" t="s">
        <v>683</v>
      </c>
      <c r="O135" t="s">
        <v>175</v>
      </c>
      <c r="P135" t="s">
        <v>457</v>
      </c>
      <c r="Q135" t="s">
        <v>124</v>
      </c>
      <c r="R135" t="s">
        <v>682</v>
      </c>
      <c r="T135" s="2"/>
      <c r="U135" s="2">
        <v>45974</v>
      </c>
      <c r="V135" s="2">
        <v>45960</v>
      </c>
      <c r="W135" s="1">
        <v>22556</v>
      </c>
      <c r="X135"/>
      <c r="Y135" t="s">
        <v>147</v>
      </c>
      <c r="Z135" t="s">
        <v>5</v>
      </c>
      <c r="AA135" s="2">
        <v>45989</v>
      </c>
      <c r="AB135" s="1">
        <v>11278</v>
      </c>
      <c r="AC135" s="1">
        <v>0</v>
      </c>
      <c r="AD135" s="1">
        <v>22556</v>
      </c>
      <c r="AE135" s="1">
        <v>0</v>
      </c>
      <c r="AF135" s="1"/>
      <c r="AG135" s="1"/>
      <c r="AH135" s="1"/>
      <c r="AI135" s="1"/>
      <c r="AJ135" s="1"/>
      <c r="AK135">
        <v>0</v>
      </c>
      <c r="AP135" s="1">
        <v>11278</v>
      </c>
      <c r="AQ135" s="2"/>
      <c r="AS135" s="1">
        <v>23251.53</v>
      </c>
      <c r="AT135" s="3">
        <v>46022</v>
      </c>
      <c r="AU135" s="1"/>
      <c r="AV135" s="1"/>
      <c r="AX135" t="s">
        <v>2</v>
      </c>
      <c r="AY135" s="1">
        <v>11793.41</v>
      </c>
      <c r="AZ135" s="1">
        <v>11278</v>
      </c>
      <c r="BA135" s="1" t="s">
        <v>0</v>
      </c>
      <c r="BB135" t="s">
        <v>23</v>
      </c>
      <c r="BC135" t="s">
        <v>0</v>
      </c>
    </row>
    <row r="136" spans="1:55" x14ac:dyDescent="0.35">
      <c r="A136" t="s">
        <v>687</v>
      </c>
      <c r="B136">
        <v>75140</v>
      </c>
      <c r="C136" t="s">
        <v>686</v>
      </c>
      <c r="D136" t="s">
        <v>457</v>
      </c>
      <c r="E136" t="s">
        <v>685</v>
      </c>
      <c r="F136" t="s">
        <v>226</v>
      </c>
      <c r="G136" t="s">
        <v>17</v>
      </c>
      <c r="H136" t="s">
        <v>181</v>
      </c>
      <c r="I136" t="s">
        <v>15</v>
      </c>
      <c r="J136" t="s">
        <v>180</v>
      </c>
      <c r="K136" t="s">
        <v>179</v>
      </c>
      <c r="L136" t="s">
        <v>684</v>
      </c>
      <c r="M136" t="s">
        <v>177</v>
      </c>
      <c r="N136" t="s">
        <v>683</v>
      </c>
      <c r="O136" t="s">
        <v>175</v>
      </c>
      <c r="P136" t="s">
        <v>457</v>
      </c>
      <c r="Q136" t="s">
        <v>124</v>
      </c>
      <c r="R136" t="s">
        <v>682</v>
      </c>
      <c r="T136" s="2"/>
      <c r="U136" s="2">
        <v>45974</v>
      </c>
      <c r="V136" s="2">
        <v>45960</v>
      </c>
      <c r="W136" s="1">
        <v>13533.6</v>
      </c>
      <c r="X136"/>
      <c r="Y136" t="s">
        <v>147</v>
      </c>
      <c r="Z136" t="s">
        <v>5</v>
      </c>
      <c r="AA136" s="2">
        <v>45989</v>
      </c>
      <c r="AB136" s="1">
        <v>6766.8</v>
      </c>
      <c r="AC136" s="1">
        <v>0</v>
      </c>
      <c r="AD136" s="1">
        <v>13533.6</v>
      </c>
      <c r="AE136" s="1">
        <v>0</v>
      </c>
      <c r="AF136" s="1"/>
      <c r="AG136" s="1"/>
      <c r="AH136" s="1"/>
      <c r="AI136" s="1"/>
      <c r="AJ136" s="1"/>
      <c r="AK136">
        <v>0</v>
      </c>
      <c r="AP136" s="1">
        <v>6766.8</v>
      </c>
      <c r="AQ136" s="2"/>
      <c r="AS136" s="1">
        <v>13950.92</v>
      </c>
      <c r="AT136" s="3">
        <v>46022</v>
      </c>
      <c r="AU136" s="1"/>
      <c r="AV136" s="1"/>
      <c r="AX136" t="s">
        <v>2</v>
      </c>
      <c r="AY136" s="1">
        <v>7076.04</v>
      </c>
      <c r="AZ136" s="1">
        <v>6766.8</v>
      </c>
      <c r="BA136" s="1" t="s">
        <v>0</v>
      </c>
      <c r="BB136" t="s">
        <v>23</v>
      </c>
      <c r="BC136" t="s">
        <v>0</v>
      </c>
    </row>
    <row r="137" spans="1:55" x14ac:dyDescent="0.35">
      <c r="A137" t="s">
        <v>681</v>
      </c>
      <c r="B137">
        <v>75144</v>
      </c>
      <c r="C137" t="s">
        <v>680</v>
      </c>
      <c r="D137" t="s">
        <v>23</v>
      </c>
      <c r="E137" t="s">
        <v>679</v>
      </c>
      <c r="F137" t="s">
        <v>336</v>
      </c>
      <c r="G137" t="s">
        <v>17</v>
      </c>
      <c r="H137" t="s">
        <v>181</v>
      </c>
      <c r="I137" t="s">
        <v>15</v>
      </c>
      <c r="J137" t="s">
        <v>678</v>
      </c>
      <c r="K137" t="s">
        <v>179</v>
      </c>
      <c r="L137" t="s">
        <v>677</v>
      </c>
      <c r="M137" t="s">
        <v>333</v>
      </c>
      <c r="N137" t="s">
        <v>639</v>
      </c>
      <c r="O137" t="s">
        <v>175</v>
      </c>
      <c r="P137" t="s">
        <v>29</v>
      </c>
      <c r="Q137" t="s">
        <v>124</v>
      </c>
      <c r="R137" t="s">
        <v>28</v>
      </c>
      <c r="T137" s="2"/>
      <c r="U137" s="2">
        <v>45975</v>
      </c>
      <c r="V137" s="2">
        <v>45956</v>
      </c>
      <c r="W137" s="1">
        <v>80000</v>
      </c>
      <c r="X137">
        <v>40000</v>
      </c>
      <c r="Y137" t="s">
        <v>147</v>
      </c>
      <c r="Z137" t="s">
        <v>5</v>
      </c>
      <c r="AA137" s="2">
        <v>46327</v>
      </c>
      <c r="AB137" s="1">
        <v>40000</v>
      </c>
      <c r="AC137" s="1">
        <v>0</v>
      </c>
      <c r="AD137" s="1">
        <v>80000</v>
      </c>
      <c r="AE137" s="1">
        <v>0</v>
      </c>
      <c r="AF137" s="1"/>
      <c r="AG137" s="1"/>
      <c r="AH137" s="1"/>
      <c r="AI137" s="1"/>
      <c r="AJ137" s="1"/>
      <c r="AK137">
        <v>0</v>
      </c>
      <c r="AL137" t="s">
        <v>630</v>
      </c>
      <c r="AM137" t="s">
        <v>630</v>
      </c>
      <c r="AN137" t="s">
        <v>676</v>
      </c>
      <c r="AO137" t="s">
        <v>675</v>
      </c>
      <c r="AP137" s="1">
        <v>40000</v>
      </c>
      <c r="AQ137" s="2"/>
      <c r="AS137" s="1">
        <v>82705.850000000006</v>
      </c>
      <c r="AT137" s="3">
        <v>46022</v>
      </c>
      <c r="AU137" s="1"/>
      <c r="AV137" s="1"/>
      <c r="AX137" t="s">
        <v>2</v>
      </c>
      <c r="AY137" s="1">
        <v>41828</v>
      </c>
      <c r="AZ137" s="1">
        <v>40000</v>
      </c>
      <c r="BA137" s="1" t="s">
        <v>0</v>
      </c>
      <c r="BB137" t="s">
        <v>23</v>
      </c>
      <c r="BC137" t="s">
        <v>0</v>
      </c>
    </row>
    <row r="138" spans="1:55" x14ac:dyDescent="0.35">
      <c r="A138" t="s">
        <v>674</v>
      </c>
      <c r="B138">
        <v>75145</v>
      </c>
      <c r="C138" t="s">
        <v>673</v>
      </c>
      <c r="D138" t="s">
        <v>23</v>
      </c>
      <c r="E138" t="s">
        <v>672</v>
      </c>
      <c r="F138" t="s">
        <v>671</v>
      </c>
      <c r="G138" t="s">
        <v>17</v>
      </c>
      <c r="H138" t="s">
        <v>181</v>
      </c>
      <c r="I138" t="s">
        <v>15</v>
      </c>
      <c r="J138" t="s">
        <v>670</v>
      </c>
      <c r="K138" t="s">
        <v>179</v>
      </c>
      <c r="L138" t="s">
        <v>669</v>
      </c>
      <c r="M138" t="s">
        <v>150</v>
      </c>
      <c r="N138" t="s">
        <v>668</v>
      </c>
      <c r="O138" t="s">
        <v>646</v>
      </c>
      <c r="P138" t="s">
        <v>8</v>
      </c>
      <c r="Q138" t="s">
        <v>124</v>
      </c>
      <c r="R138" t="s">
        <v>534</v>
      </c>
      <c r="T138" s="2"/>
      <c r="U138" s="2">
        <v>45975</v>
      </c>
      <c r="V138" s="2">
        <v>45974</v>
      </c>
      <c r="W138" s="1">
        <v>47798.68</v>
      </c>
      <c r="X138"/>
      <c r="Y138" t="s">
        <v>147</v>
      </c>
      <c r="Z138" t="s">
        <v>5</v>
      </c>
      <c r="AA138" s="2"/>
      <c r="AB138" s="1"/>
      <c r="AC138" s="1">
        <v>47798.68</v>
      </c>
      <c r="AD138" s="1">
        <v>0</v>
      </c>
      <c r="AE138" s="1">
        <v>0</v>
      </c>
      <c r="AF138" s="1"/>
      <c r="AG138" s="1"/>
      <c r="AH138" s="1"/>
      <c r="AI138" s="1"/>
      <c r="AJ138" s="1"/>
      <c r="AK138">
        <v>0</v>
      </c>
      <c r="AL138" t="s">
        <v>667</v>
      </c>
      <c r="AM138" t="s">
        <v>667</v>
      </c>
      <c r="AN138" t="s">
        <v>666</v>
      </c>
      <c r="AO138" t="s">
        <v>665</v>
      </c>
      <c r="AP138" s="1">
        <v>23899.34</v>
      </c>
      <c r="AQ138" s="2"/>
      <c r="AS138" s="1">
        <v>49268.3</v>
      </c>
      <c r="AT138" s="3">
        <v>46022</v>
      </c>
      <c r="AU138" s="1"/>
      <c r="AV138" s="1"/>
      <c r="AX138" t="s">
        <v>2</v>
      </c>
      <c r="AY138" s="1">
        <v>24929</v>
      </c>
      <c r="AZ138" s="1">
        <v>23899.34</v>
      </c>
      <c r="BA138" s="1" t="s">
        <v>0</v>
      </c>
      <c r="BB138" t="s">
        <v>23</v>
      </c>
      <c r="BC138" t="s">
        <v>0</v>
      </c>
    </row>
    <row r="139" spans="1:55" x14ac:dyDescent="0.35">
      <c r="A139" t="s">
        <v>664</v>
      </c>
      <c r="B139">
        <v>75143</v>
      </c>
      <c r="C139" t="s">
        <v>663</v>
      </c>
      <c r="D139" t="s">
        <v>23</v>
      </c>
      <c r="E139" t="s">
        <v>662</v>
      </c>
      <c r="F139" t="s">
        <v>153</v>
      </c>
      <c r="G139" t="s">
        <v>17</v>
      </c>
      <c r="H139" t="s">
        <v>181</v>
      </c>
      <c r="I139" t="s">
        <v>15</v>
      </c>
      <c r="J139" t="s">
        <v>661</v>
      </c>
      <c r="K139" t="s">
        <v>13</v>
      </c>
      <c r="L139" t="s">
        <v>660</v>
      </c>
      <c r="M139" t="s">
        <v>659</v>
      </c>
      <c r="N139" t="s">
        <v>658</v>
      </c>
      <c r="O139" t="s">
        <v>9</v>
      </c>
      <c r="P139" t="s">
        <v>590</v>
      </c>
      <c r="Q139" t="s">
        <v>657</v>
      </c>
      <c r="R139" t="s">
        <v>589</v>
      </c>
      <c r="T139" s="2"/>
      <c r="U139" s="2">
        <v>45975</v>
      </c>
      <c r="V139" s="2">
        <v>45957</v>
      </c>
      <c r="W139" s="1">
        <v>0.44</v>
      </c>
      <c r="X139">
        <v>10000</v>
      </c>
      <c r="Y139" t="s">
        <v>200</v>
      </c>
      <c r="Z139" t="s">
        <v>5</v>
      </c>
      <c r="AA139" s="2"/>
      <c r="AB139" s="1">
        <v>10000</v>
      </c>
      <c r="AC139" s="1">
        <v>0</v>
      </c>
      <c r="AD139" s="1">
        <v>0.44</v>
      </c>
      <c r="AE139" s="1">
        <v>0</v>
      </c>
      <c r="AF139" s="1"/>
      <c r="AG139" s="1"/>
      <c r="AH139" s="1"/>
      <c r="AI139" s="1"/>
      <c r="AJ139" s="1"/>
      <c r="AK139">
        <v>0</v>
      </c>
      <c r="AL139" t="s">
        <v>656</v>
      </c>
      <c r="AM139" t="s">
        <v>656</v>
      </c>
      <c r="AN139" t="s">
        <v>655</v>
      </c>
      <c r="AO139" t="s">
        <v>654</v>
      </c>
      <c r="AP139" s="1">
        <v>10000</v>
      </c>
      <c r="AQ139" s="2"/>
      <c r="AS139" s="1">
        <v>0.45</v>
      </c>
      <c r="AT139" s="3">
        <v>46022</v>
      </c>
      <c r="AU139" s="1"/>
      <c r="AV139" s="1"/>
      <c r="AX139" t="s">
        <v>2</v>
      </c>
      <c r="AY139" s="4">
        <v>0.23</v>
      </c>
      <c r="AZ139" s="1"/>
      <c r="BA139" s="1" t="s">
        <v>0</v>
      </c>
      <c r="BB139" t="s">
        <v>23</v>
      </c>
      <c r="BC139" t="s">
        <v>0</v>
      </c>
    </row>
    <row r="140" spans="1:55" x14ac:dyDescent="0.35">
      <c r="A140" t="s">
        <v>653</v>
      </c>
      <c r="B140">
        <v>75149</v>
      </c>
      <c r="C140" t="s">
        <v>652</v>
      </c>
      <c r="D140" t="s">
        <v>23</v>
      </c>
      <c r="E140" t="s">
        <v>651</v>
      </c>
      <c r="F140" t="s">
        <v>182</v>
      </c>
      <c r="G140" t="s">
        <v>17</v>
      </c>
      <c r="H140" t="s">
        <v>181</v>
      </c>
      <c r="I140" t="s">
        <v>15</v>
      </c>
      <c r="J140" t="s">
        <v>650</v>
      </c>
      <c r="K140" t="s">
        <v>179</v>
      </c>
      <c r="L140" t="s">
        <v>649</v>
      </c>
      <c r="M140" t="s">
        <v>648</v>
      </c>
      <c r="N140" t="s">
        <v>647</v>
      </c>
      <c r="O140" t="s">
        <v>646</v>
      </c>
      <c r="P140" t="s">
        <v>331</v>
      </c>
      <c r="Q140" t="s">
        <v>124</v>
      </c>
      <c r="R140" t="s">
        <v>28</v>
      </c>
      <c r="T140" s="2"/>
      <c r="U140" s="2">
        <v>45978</v>
      </c>
      <c r="V140" s="2">
        <v>45964</v>
      </c>
      <c r="W140" s="1">
        <v>160000</v>
      </c>
      <c r="X140">
        <v>80000</v>
      </c>
      <c r="Y140" t="s">
        <v>133</v>
      </c>
      <c r="Z140" t="s">
        <v>5</v>
      </c>
      <c r="AA140" s="2">
        <v>46692</v>
      </c>
      <c r="AB140" s="1">
        <v>80000</v>
      </c>
      <c r="AC140" s="1">
        <v>0</v>
      </c>
      <c r="AD140" s="1">
        <v>160000</v>
      </c>
      <c r="AE140" s="1">
        <v>0</v>
      </c>
      <c r="AF140" s="1"/>
      <c r="AG140" s="1"/>
      <c r="AH140" s="1"/>
      <c r="AI140" s="1"/>
      <c r="AJ140" s="1"/>
      <c r="AK140">
        <v>0</v>
      </c>
      <c r="AN140" t="s">
        <v>645</v>
      </c>
      <c r="AO140" t="s">
        <v>644</v>
      </c>
      <c r="AP140" s="1">
        <v>80000</v>
      </c>
      <c r="AQ140" s="2"/>
      <c r="AS140" s="1">
        <v>165186.78</v>
      </c>
      <c r="AT140" s="3">
        <v>46022</v>
      </c>
      <c r="AU140" s="1"/>
      <c r="AV140" s="1"/>
      <c r="AX140" t="s">
        <v>2</v>
      </c>
      <c r="AY140" s="1">
        <v>83446.679999999993</v>
      </c>
      <c r="AZ140" s="1">
        <v>80000</v>
      </c>
      <c r="BA140" s="1" t="s">
        <v>0</v>
      </c>
      <c r="BB140" t="s">
        <v>186</v>
      </c>
      <c r="BC140" t="s">
        <v>0</v>
      </c>
    </row>
    <row r="141" spans="1:55" x14ac:dyDescent="0.35">
      <c r="A141" t="s">
        <v>643</v>
      </c>
      <c r="B141">
        <v>75147</v>
      </c>
      <c r="C141" t="s">
        <v>642</v>
      </c>
      <c r="D141" t="s">
        <v>23</v>
      </c>
      <c r="E141" t="s">
        <v>641</v>
      </c>
      <c r="F141" t="s">
        <v>336</v>
      </c>
      <c r="G141" t="s">
        <v>17</v>
      </c>
      <c r="H141" t="s">
        <v>181</v>
      </c>
      <c r="I141" t="s">
        <v>15</v>
      </c>
      <c r="J141" t="s">
        <v>633</v>
      </c>
      <c r="K141" t="s">
        <v>179</v>
      </c>
      <c r="L141" t="s">
        <v>640</v>
      </c>
      <c r="M141" t="s">
        <v>333</v>
      </c>
      <c r="N141" t="s">
        <v>639</v>
      </c>
      <c r="O141" t="s">
        <v>175</v>
      </c>
      <c r="P141" t="s">
        <v>29</v>
      </c>
      <c r="Q141" t="s">
        <v>124</v>
      </c>
      <c r="R141" t="s">
        <v>28</v>
      </c>
      <c r="T141" s="2"/>
      <c r="U141" s="2">
        <v>45978</v>
      </c>
      <c r="V141" s="2">
        <v>45966</v>
      </c>
      <c r="W141" s="1">
        <v>80000</v>
      </c>
      <c r="X141">
        <v>40000</v>
      </c>
      <c r="Y141" t="s">
        <v>147</v>
      </c>
      <c r="Z141" t="s">
        <v>5</v>
      </c>
      <c r="AA141" s="2"/>
      <c r="AB141" s="1">
        <v>40000</v>
      </c>
      <c r="AC141" s="1">
        <v>0</v>
      </c>
      <c r="AD141" s="1">
        <v>80000</v>
      </c>
      <c r="AE141" s="1">
        <v>0</v>
      </c>
      <c r="AF141" s="1"/>
      <c r="AG141" s="1"/>
      <c r="AH141" s="1"/>
      <c r="AI141" s="1"/>
      <c r="AJ141" s="1"/>
      <c r="AK141">
        <v>0</v>
      </c>
      <c r="AL141" t="s">
        <v>630</v>
      </c>
      <c r="AM141" t="s">
        <v>630</v>
      </c>
      <c r="AN141" t="s">
        <v>638</v>
      </c>
      <c r="AO141" t="s">
        <v>637</v>
      </c>
      <c r="AP141" s="1">
        <v>40000</v>
      </c>
      <c r="AQ141" s="2"/>
      <c r="AS141" s="1">
        <v>82573.55</v>
      </c>
      <c r="AT141" s="3">
        <v>46022</v>
      </c>
      <c r="AU141" s="1"/>
      <c r="AV141" s="1"/>
      <c r="AX141" t="s">
        <v>2</v>
      </c>
      <c r="AY141" s="1">
        <v>41828</v>
      </c>
      <c r="AZ141" s="1">
        <v>40000</v>
      </c>
      <c r="BA141" s="1" t="s">
        <v>0</v>
      </c>
      <c r="BB141" t="s">
        <v>23</v>
      </c>
      <c r="BC141" t="s">
        <v>0</v>
      </c>
    </row>
    <row r="142" spans="1:55" x14ac:dyDescent="0.35">
      <c r="A142" t="s">
        <v>636</v>
      </c>
      <c r="B142">
        <v>75148</v>
      </c>
      <c r="C142" t="s">
        <v>635</v>
      </c>
      <c r="D142" t="s">
        <v>23</v>
      </c>
      <c r="E142" t="s">
        <v>634</v>
      </c>
      <c r="F142" t="s">
        <v>336</v>
      </c>
      <c r="G142" t="s">
        <v>17</v>
      </c>
      <c r="H142" t="s">
        <v>181</v>
      </c>
      <c r="I142" t="s">
        <v>15</v>
      </c>
      <c r="J142" t="s">
        <v>633</v>
      </c>
      <c r="K142" t="s">
        <v>179</v>
      </c>
      <c r="L142" t="s">
        <v>632</v>
      </c>
      <c r="M142" t="s">
        <v>333</v>
      </c>
      <c r="N142" t="s">
        <v>631</v>
      </c>
      <c r="O142" t="s">
        <v>175</v>
      </c>
      <c r="P142" t="s">
        <v>29</v>
      </c>
      <c r="Q142" t="s">
        <v>124</v>
      </c>
      <c r="R142" t="s">
        <v>28</v>
      </c>
      <c r="T142" s="2"/>
      <c r="U142" s="2">
        <v>45978</v>
      </c>
      <c r="V142" s="2">
        <v>45966</v>
      </c>
      <c r="W142" s="1">
        <v>80000</v>
      </c>
      <c r="X142">
        <v>40000</v>
      </c>
      <c r="Y142" t="s">
        <v>147</v>
      </c>
      <c r="Z142" t="s">
        <v>5</v>
      </c>
      <c r="AA142" s="2"/>
      <c r="AB142" s="1">
        <v>40000</v>
      </c>
      <c r="AC142" s="1">
        <v>0</v>
      </c>
      <c r="AD142" s="1">
        <v>80000</v>
      </c>
      <c r="AE142" s="1">
        <v>0</v>
      </c>
      <c r="AF142" s="1"/>
      <c r="AG142" s="1"/>
      <c r="AH142" s="1"/>
      <c r="AI142" s="1"/>
      <c r="AJ142" s="1"/>
      <c r="AK142">
        <v>0</v>
      </c>
      <c r="AL142" t="s">
        <v>630</v>
      </c>
      <c r="AM142" t="s">
        <v>630</v>
      </c>
      <c r="AN142" t="s">
        <v>629</v>
      </c>
      <c r="AO142" t="s">
        <v>628</v>
      </c>
      <c r="AP142" s="1">
        <v>40000</v>
      </c>
      <c r="AQ142" s="2"/>
      <c r="AS142" s="1">
        <v>82573.55</v>
      </c>
      <c r="AT142" s="3">
        <v>46022</v>
      </c>
      <c r="AU142" s="1"/>
      <c r="AV142" s="1"/>
      <c r="AX142" t="s">
        <v>2</v>
      </c>
      <c r="AY142" s="1">
        <v>41828</v>
      </c>
      <c r="AZ142" s="1">
        <v>40000</v>
      </c>
      <c r="BA142" s="1" t="s">
        <v>0</v>
      </c>
      <c r="BB142" t="s">
        <v>23</v>
      </c>
      <c r="BC142" t="s">
        <v>0</v>
      </c>
    </row>
    <row r="143" spans="1:55" x14ac:dyDescent="0.35">
      <c r="A143" t="s">
        <v>627</v>
      </c>
      <c r="B143">
        <v>75155</v>
      </c>
      <c r="C143" t="s">
        <v>626</v>
      </c>
      <c r="D143" t="s">
        <v>23</v>
      </c>
      <c r="E143" t="s">
        <v>625</v>
      </c>
      <c r="F143" t="s">
        <v>624</v>
      </c>
      <c r="G143" t="s">
        <v>17</v>
      </c>
      <c r="H143" t="s">
        <v>181</v>
      </c>
      <c r="I143" t="s">
        <v>15</v>
      </c>
      <c r="J143" t="s">
        <v>623</v>
      </c>
      <c r="K143" t="s">
        <v>179</v>
      </c>
      <c r="L143" t="s">
        <v>622</v>
      </c>
      <c r="M143" t="s">
        <v>621</v>
      </c>
      <c r="N143" t="s">
        <v>620</v>
      </c>
      <c r="O143" t="s">
        <v>591</v>
      </c>
      <c r="P143" t="s">
        <v>29</v>
      </c>
      <c r="Q143" t="s">
        <v>124</v>
      </c>
      <c r="R143" t="s">
        <v>28</v>
      </c>
      <c r="T143" s="2"/>
      <c r="U143" s="2">
        <v>45985</v>
      </c>
      <c r="V143" s="2">
        <v>45957</v>
      </c>
      <c r="W143" s="1">
        <v>69108.820000000007</v>
      </c>
      <c r="X143"/>
      <c r="Y143" t="s">
        <v>147</v>
      </c>
      <c r="Z143" t="s">
        <v>5</v>
      </c>
      <c r="AA143" s="2"/>
      <c r="AB143" s="1"/>
      <c r="AC143" s="1">
        <v>0</v>
      </c>
      <c r="AD143" s="1">
        <v>69108.820000000007</v>
      </c>
      <c r="AE143" s="1">
        <v>0</v>
      </c>
      <c r="AF143" s="1"/>
      <c r="AG143" s="1"/>
      <c r="AH143" s="1"/>
      <c r="AI143" s="1"/>
      <c r="AJ143" s="1"/>
      <c r="AK143">
        <v>0</v>
      </c>
      <c r="AL143" t="s">
        <v>619</v>
      </c>
      <c r="AM143" t="s">
        <v>619</v>
      </c>
      <c r="AN143" t="s">
        <v>618</v>
      </c>
      <c r="AO143" t="s">
        <v>617</v>
      </c>
      <c r="AP143" s="1">
        <v>34554.410000000003</v>
      </c>
      <c r="AQ143" s="2"/>
      <c r="AS143" s="1">
        <v>71113.11</v>
      </c>
      <c r="AT143" s="3">
        <v>46022</v>
      </c>
      <c r="AU143" s="1"/>
      <c r="AV143" s="1"/>
      <c r="AX143" t="s">
        <v>2</v>
      </c>
      <c r="AY143" s="1">
        <v>36133.550000000003</v>
      </c>
      <c r="AZ143" s="1">
        <v>34554.410000000003</v>
      </c>
      <c r="BA143" s="1" t="s">
        <v>0</v>
      </c>
      <c r="BB143" t="s">
        <v>23</v>
      </c>
      <c r="BC143" t="s">
        <v>0</v>
      </c>
    </row>
    <row r="144" spans="1:55" x14ac:dyDescent="0.35">
      <c r="A144" t="s">
        <v>616</v>
      </c>
      <c r="B144">
        <v>75154</v>
      </c>
      <c r="C144" t="s">
        <v>615</v>
      </c>
      <c r="D144" t="s">
        <v>23</v>
      </c>
      <c r="E144" t="s">
        <v>614</v>
      </c>
      <c r="F144" t="s">
        <v>182</v>
      </c>
      <c r="G144" t="s">
        <v>17</v>
      </c>
      <c r="H144" t="s">
        <v>16</v>
      </c>
      <c r="I144" t="s">
        <v>15</v>
      </c>
      <c r="J144" t="s">
        <v>168</v>
      </c>
      <c r="K144" t="s">
        <v>179</v>
      </c>
      <c r="L144" t="s">
        <v>613</v>
      </c>
      <c r="M144" t="s">
        <v>612</v>
      </c>
      <c r="N144" t="s">
        <v>611</v>
      </c>
      <c r="O144" t="s">
        <v>610</v>
      </c>
      <c r="P144" t="s">
        <v>29</v>
      </c>
      <c r="Q144" t="s">
        <v>124</v>
      </c>
      <c r="R144" t="s">
        <v>609</v>
      </c>
      <c r="T144" s="2"/>
      <c r="U144" s="2">
        <v>45985</v>
      </c>
      <c r="V144" s="2">
        <v>45966</v>
      </c>
      <c r="W144" s="1">
        <v>0</v>
      </c>
      <c r="X144">
        <v>0</v>
      </c>
      <c r="Y144" t="s">
        <v>189</v>
      </c>
      <c r="Z144" t="s">
        <v>5</v>
      </c>
      <c r="AA144" s="2"/>
      <c r="AB144" s="1"/>
      <c r="AC144" s="1">
        <v>0</v>
      </c>
      <c r="AD144" s="1">
        <v>0</v>
      </c>
      <c r="AE144" s="1">
        <v>0</v>
      </c>
      <c r="AF144" s="1"/>
      <c r="AG144" s="1"/>
      <c r="AH144" s="1"/>
      <c r="AI144" s="1"/>
      <c r="AJ144" s="1"/>
      <c r="AK144">
        <v>0</v>
      </c>
      <c r="AL144" t="s">
        <v>608</v>
      </c>
      <c r="AM144" t="s">
        <v>608</v>
      </c>
      <c r="AN144" t="s">
        <v>607</v>
      </c>
      <c r="AO144" t="s">
        <v>606</v>
      </c>
      <c r="AP144" s="1">
        <v>0</v>
      </c>
      <c r="AQ144" s="2"/>
      <c r="AS144" s="1">
        <v>0</v>
      </c>
      <c r="AT144" s="3">
        <v>46022</v>
      </c>
      <c r="AU144" s="1"/>
      <c r="AV144" s="1"/>
      <c r="AX144" t="s">
        <v>2</v>
      </c>
      <c r="AY144" s="1">
        <v>0</v>
      </c>
      <c r="AZ144" s="1">
        <v>0</v>
      </c>
      <c r="BA144" s="1" t="s">
        <v>0</v>
      </c>
      <c r="BB144" t="s">
        <v>23</v>
      </c>
      <c r="BC144" t="s">
        <v>0</v>
      </c>
    </row>
    <row r="145" spans="1:55" x14ac:dyDescent="0.35">
      <c r="A145" t="s">
        <v>605</v>
      </c>
      <c r="B145">
        <v>75152</v>
      </c>
      <c r="C145" t="s">
        <v>604</v>
      </c>
      <c r="D145" t="s">
        <v>23</v>
      </c>
      <c r="E145" t="s">
        <v>603</v>
      </c>
      <c r="F145" t="s">
        <v>182</v>
      </c>
      <c r="G145" t="s">
        <v>17</v>
      </c>
      <c r="H145" t="s">
        <v>16</v>
      </c>
      <c r="I145" t="s">
        <v>15</v>
      </c>
      <c r="J145" t="s">
        <v>180</v>
      </c>
      <c r="K145" t="s">
        <v>33</v>
      </c>
      <c r="L145" t="s">
        <v>602</v>
      </c>
      <c r="M145" t="s">
        <v>190</v>
      </c>
      <c r="N145" t="s">
        <v>601</v>
      </c>
      <c r="O145" t="s">
        <v>42</v>
      </c>
      <c r="P145" t="s">
        <v>29</v>
      </c>
      <c r="Q145" t="s">
        <v>124</v>
      </c>
      <c r="R145" t="s">
        <v>28</v>
      </c>
      <c r="T145" s="2"/>
      <c r="U145" s="2">
        <v>45985</v>
      </c>
      <c r="V145" s="2">
        <v>45966</v>
      </c>
      <c r="W145" s="1">
        <v>150000</v>
      </c>
      <c r="X145">
        <v>75000</v>
      </c>
      <c r="Y145" t="s">
        <v>133</v>
      </c>
      <c r="Z145" t="s">
        <v>5</v>
      </c>
      <c r="AA145" s="2"/>
      <c r="AB145" s="1"/>
      <c r="AC145" s="1">
        <v>0</v>
      </c>
      <c r="AD145" s="1">
        <v>150000</v>
      </c>
      <c r="AE145" s="1">
        <v>0</v>
      </c>
      <c r="AF145" s="1"/>
      <c r="AG145" s="1"/>
      <c r="AH145" s="1"/>
      <c r="AI145" s="1"/>
      <c r="AJ145" s="1"/>
      <c r="AK145">
        <v>0</v>
      </c>
      <c r="AL145" t="s">
        <v>600</v>
      </c>
      <c r="AM145" t="s">
        <v>600</v>
      </c>
      <c r="AN145" t="s">
        <v>599</v>
      </c>
      <c r="AO145" t="s">
        <v>598</v>
      </c>
      <c r="AP145" s="1">
        <v>75000</v>
      </c>
      <c r="AQ145" s="2"/>
      <c r="AS145" s="1">
        <v>75900</v>
      </c>
      <c r="AT145" s="3">
        <v>46022</v>
      </c>
      <c r="AU145" s="1"/>
      <c r="AV145" s="1"/>
      <c r="AX145" t="s">
        <v>2</v>
      </c>
      <c r="AY145" s="1">
        <v>0</v>
      </c>
      <c r="AZ145" s="1">
        <v>0</v>
      </c>
      <c r="BA145" s="1" t="s">
        <v>0</v>
      </c>
      <c r="BB145" t="s">
        <v>186</v>
      </c>
      <c r="BC145" t="s">
        <v>0</v>
      </c>
    </row>
    <row r="146" spans="1:55" x14ac:dyDescent="0.35">
      <c r="A146" t="s">
        <v>597</v>
      </c>
      <c r="B146">
        <v>75151</v>
      </c>
      <c r="C146" t="s">
        <v>596</v>
      </c>
      <c r="D146" t="s">
        <v>23</v>
      </c>
      <c r="E146" t="s">
        <v>595</v>
      </c>
      <c r="F146" t="s">
        <v>153</v>
      </c>
      <c r="G146" t="s">
        <v>17</v>
      </c>
      <c r="H146" t="s">
        <v>181</v>
      </c>
      <c r="I146" t="s">
        <v>15</v>
      </c>
      <c r="J146" t="s">
        <v>594</v>
      </c>
      <c r="K146" t="s">
        <v>179</v>
      </c>
      <c r="L146" t="s">
        <v>593</v>
      </c>
      <c r="M146" t="s">
        <v>555</v>
      </c>
      <c r="N146" t="s">
        <v>592</v>
      </c>
      <c r="O146" t="s">
        <v>591</v>
      </c>
      <c r="P146" t="s">
        <v>590</v>
      </c>
      <c r="Q146" t="s">
        <v>124</v>
      </c>
      <c r="R146" t="s">
        <v>589</v>
      </c>
      <c r="T146" s="2"/>
      <c r="U146" s="2">
        <v>45985</v>
      </c>
      <c r="V146" s="2">
        <v>45974</v>
      </c>
      <c r="W146" s="1">
        <v>200</v>
      </c>
      <c r="X146">
        <v>100</v>
      </c>
      <c r="Y146" t="s">
        <v>133</v>
      </c>
      <c r="Z146" t="s">
        <v>5</v>
      </c>
      <c r="AA146" s="2"/>
      <c r="AB146" s="1"/>
      <c r="AC146" s="1">
        <v>0</v>
      </c>
      <c r="AD146" s="1">
        <v>200</v>
      </c>
      <c r="AE146" s="1">
        <v>0</v>
      </c>
      <c r="AF146" s="1"/>
      <c r="AG146" s="1"/>
      <c r="AH146" s="1"/>
      <c r="AI146" s="1"/>
      <c r="AJ146" s="1"/>
      <c r="AK146">
        <v>0</v>
      </c>
      <c r="AL146" t="s">
        <v>588</v>
      </c>
      <c r="AM146" t="s">
        <v>588</v>
      </c>
      <c r="AN146" t="s">
        <v>587</v>
      </c>
      <c r="AO146" t="s">
        <v>586</v>
      </c>
      <c r="AP146" s="1">
        <v>100</v>
      </c>
      <c r="AQ146" s="2"/>
      <c r="AS146" s="1">
        <v>101.6</v>
      </c>
      <c r="AT146" s="3">
        <v>46022</v>
      </c>
      <c r="AU146" s="1"/>
      <c r="AV146" s="1"/>
      <c r="AX146" t="s">
        <v>2</v>
      </c>
      <c r="AY146" s="1">
        <v>0</v>
      </c>
      <c r="AZ146" s="1">
        <v>0</v>
      </c>
      <c r="BA146" s="1" t="s">
        <v>0</v>
      </c>
      <c r="BB146" t="s">
        <v>548</v>
      </c>
      <c r="BC146" t="s">
        <v>0</v>
      </c>
    </row>
    <row r="147" spans="1:55" x14ac:dyDescent="0.35">
      <c r="A147" t="s">
        <v>585</v>
      </c>
      <c r="B147">
        <v>75156</v>
      </c>
      <c r="C147" t="s">
        <v>584</v>
      </c>
      <c r="D147" t="s">
        <v>23</v>
      </c>
      <c r="E147" t="s">
        <v>583</v>
      </c>
      <c r="F147" t="s">
        <v>182</v>
      </c>
      <c r="G147" t="s">
        <v>17</v>
      </c>
      <c r="H147" t="s">
        <v>181</v>
      </c>
      <c r="I147" t="s">
        <v>15</v>
      </c>
      <c r="J147" t="s">
        <v>582</v>
      </c>
      <c r="K147" t="s">
        <v>179</v>
      </c>
      <c r="L147" t="s">
        <v>581</v>
      </c>
      <c r="M147" t="s">
        <v>190</v>
      </c>
      <c r="N147" t="s">
        <v>580</v>
      </c>
      <c r="O147" t="s">
        <v>175</v>
      </c>
      <c r="P147" t="s">
        <v>29</v>
      </c>
      <c r="Q147" t="s">
        <v>124</v>
      </c>
      <c r="R147" t="s">
        <v>28</v>
      </c>
      <c r="T147" s="2"/>
      <c r="U147" s="2">
        <v>45985</v>
      </c>
      <c r="V147" s="2">
        <v>42389</v>
      </c>
      <c r="W147" s="1">
        <v>94560</v>
      </c>
      <c r="X147"/>
      <c r="Y147" t="s">
        <v>133</v>
      </c>
      <c r="Z147" t="s">
        <v>5</v>
      </c>
      <c r="AA147" s="2"/>
      <c r="AB147" s="1"/>
      <c r="AC147" s="1">
        <v>0</v>
      </c>
      <c r="AD147" s="1">
        <v>94560</v>
      </c>
      <c r="AE147" s="1">
        <v>0</v>
      </c>
      <c r="AF147" s="1"/>
      <c r="AG147" s="1"/>
      <c r="AH147" s="1"/>
      <c r="AI147" s="1"/>
      <c r="AJ147" s="1"/>
      <c r="AK147">
        <v>0</v>
      </c>
      <c r="AL147" t="s">
        <v>579</v>
      </c>
      <c r="AM147" t="s">
        <v>579</v>
      </c>
      <c r="AN147" t="s">
        <v>578</v>
      </c>
      <c r="AO147" t="s">
        <v>577</v>
      </c>
      <c r="AP147" s="1">
        <v>47280</v>
      </c>
      <c r="AQ147" s="2"/>
      <c r="AS147" s="1">
        <v>47956.3</v>
      </c>
      <c r="AT147" s="3">
        <v>46022</v>
      </c>
      <c r="AU147" s="1"/>
      <c r="AV147" s="1"/>
      <c r="AX147" t="s">
        <v>2</v>
      </c>
      <c r="AY147" s="4">
        <v>0</v>
      </c>
      <c r="AZ147" s="1"/>
      <c r="BA147" s="1" t="s">
        <v>0</v>
      </c>
      <c r="BB147" t="s">
        <v>186</v>
      </c>
      <c r="BC147" t="s">
        <v>0</v>
      </c>
    </row>
    <row r="148" spans="1:55" x14ac:dyDescent="0.35">
      <c r="A148" t="s">
        <v>576</v>
      </c>
      <c r="B148">
        <v>66463</v>
      </c>
      <c r="C148" t="s">
        <v>575</v>
      </c>
      <c r="D148" t="s">
        <v>20</v>
      </c>
      <c r="E148" t="s">
        <v>298</v>
      </c>
      <c r="F148" t="s">
        <v>77</v>
      </c>
      <c r="G148" t="s">
        <v>17</v>
      </c>
      <c r="H148" t="s">
        <v>16</v>
      </c>
      <c r="I148" t="s">
        <v>15</v>
      </c>
      <c r="J148" t="s">
        <v>574</v>
      </c>
      <c r="K148" t="s">
        <v>13</v>
      </c>
      <c r="L148" t="s">
        <v>573</v>
      </c>
      <c r="M148" t="s">
        <v>11</v>
      </c>
      <c r="N148" t="s">
        <v>295</v>
      </c>
      <c r="O148" t="s">
        <v>9</v>
      </c>
      <c r="P148" t="s">
        <v>8</v>
      </c>
      <c r="Q148" t="s">
        <v>8</v>
      </c>
      <c r="R148" t="s">
        <v>7</v>
      </c>
      <c r="U148" s="2">
        <v>45987</v>
      </c>
      <c r="V148" s="2">
        <v>45138</v>
      </c>
      <c r="W148" s="1">
        <v>34932.86</v>
      </c>
      <c r="X148"/>
      <c r="Y148" t="s">
        <v>6</v>
      </c>
      <c r="Z148" t="s">
        <v>5</v>
      </c>
      <c r="AA148">
        <v>46082</v>
      </c>
      <c r="AB148" t="s">
        <v>572</v>
      </c>
      <c r="AC148">
        <v>34932.86</v>
      </c>
      <c r="AD148">
        <v>0</v>
      </c>
      <c r="AE148">
        <v>0</v>
      </c>
      <c r="AF148">
        <v>35339.83</v>
      </c>
      <c r="AG148">
        <v>0</v>
      </c>
      <c r="AH148">
        <v>0</v>
      </c>
      <c r="AK148">
        <v>0</v>
      </c>
      <c r="AP148">
        <v>17466.439999999999</v>
      </c>
      <c r="AS148" s="1">
        <v>20437.41</v>
      </c>
      <c r="AT148" s="3">
        <v>46022</v>
      </c>
      <c r="AX148" t="s">
        <v>2</v>
      </c>
      <c r="AY148" s="1">
        <v>14348.85</v>
      </c>
      <c r="AZ148" s="1">
        <v>13756.18</v>
      </c>
      <c r="BA148" s="1">
        <v>13756.18</v>
      </c>
      <c r="BB148" t="s">
        <v>1</v>
      </c>
      <c r="BC148" t="b">
        <f>AZ148=BA148</f>
        <v>1</v>
      </c>
    </row>
    <row r="149" spans="1:55" x14ac:dyDescent="0.35">
      <c r="A149" t="s">
        <v>571</v>
      </c>
      <c r="B149">
        <v>75166</v>
      </c>
      <c r="C149" t="s">
        <v>570</v>
      </c>
      <c r="D149" t="s">
        <v>20</v>
      </c>
      <c r="E149" t="s">
        <v>569</v>
      </c>
      <c r="F149" t="s">
        <v>182</v>
      </c>
      <c r="G149" t="s">
        <v>17</v>
      </c>
      <c r="H149" t="s">
        <v>181</v>
      </c>
      <c r="I149" t="s">
        <v>15</v>
      </c>
      <c r="J149" t="s">
        <v>568</v>
      </c>
      <c r="K149" t="s">
        <v>179</v>
      </c>
      <c r="L149" t="s">
        <v>567</v>
      </c>
      <c r="M149" t="s">
        <v>11</v>
      </c>
      <c r="N149" t="s">
        <v>566</v>
      </c>
      <c r="O149" t="s">
        <v>565</v>
      </c>
      <c r="P149" t="s">
        <v>8</v>
      </c>
      <c r="Q149" t="s">
        <v>8</v>
      </c>
      <c r="R149" t="s">
        <v>7</v>
      </c>
      <c r="U149" s="2">
        <v>45987</v>
      </c>
      <c r="V149" s="2">
        <v>45987</v>
      </c>
      <c r="W149" s="1">
        <v>4578.88</v>
      </c>
      <c r="X149"/>
      <c r="Y149" t="s">
        <v>6</v>
      </c>
      <c r="Z149" t="s">
        <v>5</v>
      </c>
      <c r="AA149">
        <v>46357</v>
      </c>
      <c r="AB149" t="s">
        <v>564</v>
      </c>
      <c r="AC149">
        <v>4578.88</v>
      </c>
      <c r="AD149">
        <v>0</v>
      </c>
      <c r="AE149">
        <v>0</v>
      </c>
      <c r="AF149">
        <v>4632.22</v>
      </c>
      <c r="AG149">
        <v>0</v>
      </c>
      <c r="AH149">
        <v>0</v>
      </c>
      <c r="AK149">
        <v>0</v>
      </c>
      <c r="AN149" t="s">
        <v>563</v>
      </c>
      <c r="AO149" t="s">
        <v>562</v>
      </c>
      <c r="AP149">
        <v>2289.44</v>
      </c>
      <c r="AS149" s="1">
        <v>1036.8800000000001</v>
      </c>
      <c r="AT149" s="3">
        <v>46022</v>
      </c>
      <c r="AX149" t="s">
        <v>2</v>
      </c>
      <c r="AY149" s="1">
        <v>524.41</v>
      </c>
      <c r="AZ149" s="1">
        <v>512.47</v>
      </c>
      <c r="BA149" s="1" t="s">
        <v>0</v>
      </c>
      <c r="BB149" t="s">
        <v>1</v>
      </c>
      <c r="BC149" t="s">
        <v>0</v>
      </c>
    </row>
    <row r="150" spans="1:55" x14ac:dyDescent="0.35">
      <c r="A150" t="s">
        <v>561</v>
      </c>
      <c r="B150">
        <v>68550</v>
      </c>
      <c r="C150" t="s">
        <v>560</v>
      </c>
      <c r="D150" t="s">
        <v>23</v>
      </c>
      <c r="E150" t="s">
        <v>559</v>
      </c>
      <c r="F150" t="s">
        <v>153</v>
      </c>
      <c r="G150" t="s">
        <v>17</v>
      </c>
      <c r="H150" t="s">
        <v>558</v>
      </c>
      <c r="I150" t="s">
        <v>15</v>
      </c>
      <c r="J150" t="s">
        <v>557</v>
      </c>
      <c r="K150" t="s">
        <v>13</v>
      </c>
      <c r="L150" t="s">
        <v>556</v>
      </c>
      <c r="M150" t="s">
        <v>555</v>
      </c>
      <c r="N150" t="s">
        <v>554</v>
      </c>
      <c r="O150" t="s">
        <v>9</v>
      </c>
      <c r="P150" t="s">
        <v>29</v>
      </c>
      <c r="Q150" t="s">
        <v>124</v>
      </c>
      <c r="R150" t="s">
        <v>148</v>
      </c>
      <c r="U150" s="2">
        <v>45988</v>
      </c>
      <c r="V150" s="2">
        <v>45978</v>
      </c>
      <c r="W150" s="1">
        <v>10000.11</v>
      </c>
      <c r="X150"/>
      <c r="Y150" t="s">
        <v>133</v>
      </c>
      <c r="Z150" t="s">
        <v>5</v>
      </c>
      <c r="AA150">
        <v>46722</v>
      </c>
      <c r="AB150" t="s">
        <v>553</v>
      </c>
      <c r="AC150">
        <v>0.11</v>
      </c>
      <c r="AD150">
        <v>10000</v>
      </c>
      <c r="AE150">
        <v>0</v>
      </c>
      <c r="AF150">
        <v>0.11</v>
      </c>
      <c r="AG150">
        <v>10146.379999999999</v>
      </c>
      <c r="AH150">
        <v>0</v>
      </c>
      <c r="AI150" t="s">
        <v>552</v>
      </c>
      <c r="AK150">
        <v>0</v>
      </c>
      <c r="AL150" t="s">
        <v>551</v>
      </c>
      <c r="AN150" t="s">
        <v>550</v>
      </c>
      <c r="AO150" t="s">
        <v>549</v>
      </c>
      <c r="AP150">
        <v>10000</v>
      </c>
      <c r="AS150" s="1">
        <v>22557.79</v>
      </c>
      <c r="AT150" s="3">
        <v>46022</v>
      </c>
      <c r="AX150" t="s">
        <v>2</v>
      </c>
      <c r="AY150" s="1">
        <v>22557.77</v>
      </c>
      <c r="AZ150" s="1">
        <v>21571.93</v>
      </c>
      <c r="BA150" s="1">
        <v>21571.93</v>
      </c>
      <c r="BB150" t="s">
        <v>548</v>
      </c>
      <c r="BC150" t="b">
        <f>AZ150=BA150</f>
        <v>1</v>
      </c>
    </row>
    <row r="151" spans="1:55" x14ac:dyDescent="0.35">
      <c r="A151" t="s">
        <v>547</v>
      </c>
      <c r="B151">
        <v>75207</v>
      </c>
      <c r="C151" t="s">
        <v>546</v>
      </c>
      <c r="D151" t="s">
        <v>20</v>
      </c>
      <c r="E151" t="s">
        <v>493</v>
      </c>
      <c r="F151" t="s">
        <v>18</v>
      </c>
      <c r="G151" t="s">
        <v>17</v>
      </c>
      <c r="H151" t="s">
        <v>16</v>
      </c>
      <c r="I151" t="s">
        <v>15</v>
      </c>
      <c r="J151" t="s">
        <v>545</v>
      </c>
      <c r="K151" t="s">
        <v>13</v>
      </c>
      <c r="L151" t="s">
        <v>544</v>
      </c>
      <c r="M151" t="s">
        <v>11</v>
      </c>
      <c r="N151" t="s">
        <v>543</v>
      </c>
      <c r="O151" t="s">
        <v>489</v>
      </c>
      <c r="P151" t="s">
        <v>8</v>
      </c>
      <c r="Q151" t="s">
        <v>8</v>
      </c>
      <c r="R151" t="s">
        <v>7</v>
      </c>
      <c r="U151" s="2">
        <v>45988</v>
      </c>
      <c r="V151" s="2">
        <v>45967</v>
      </c>
      <c r="W151" s="1">
        <v>9546.64</v>
      </c>
      <c r="X151"/>
      <c r="Y151" t="s">
        <v>6</v>
      </c>
      <c r="Z151" t="s">
        <v>5</v>
      </c>
      <c r="AA151">
        <v>46357</v>
      </c>
      <c r="AB151" t="s">
        <v>542</v>
      </c>
      <c r="AC151">
        <v>9546.64</v>
      </c>
      <c r="AD151">
        <v>0</v>
      </c>
      <c r="AE151">
        <v>0</v>
      </c>
      <c r="AF151">
        <v>9657.86</v>
      </c>
      <c r="AG151">
        <v>0</v>
      </c>
      <c r="AH151">
        <v>0</v>
      </c>
      <c r="AI151" t="s">
        <v>541</v>
      </c>
      <c r="AK151">
        <v>0</v>
      </c>
      <c r="AL151" t="s">
        <v>541</v>
      </c>
      <c r="AN151" t="s">
        <v>487</v>
      </c>
      <c r="AO151" t="s">
        <v>486</v>
      </c>
      <c r="AP151">
        <v>4773.32</v>
      </c>
      <c r="AS151" s="1">
        <v>8784.0400000000009</v>
      </c>
      <c r="AT151" s="3">
        <v>46022</v>
      </c>
      <c r="AX151" t="s">
        <v>2</v>
      </c>
      <c r="AY151" s="1">
        <v>4392.0200000000004</v>
      </c>
      <c r="AZ151" s="1">
        <v>4392.0200000000004</v>
      </c>
      <c r="BA151" s="1" t="s">
        <v>0</v>
      </c>
      <c r="BB151" t="s">
        <v>1</v>
      </c>
      <c r="BC151" t="s">
        <v>0</v>
      </c>
    </row>
    <row r="152" spans="1:55" x14ac:dyDescent="0.35">
      <c r="A152" t="s">
        <v>540</v>
      </c>
      <c r="B152">
        <v>75168</v>
      </c>
      <c r="C152" t="s">
        <v>539</v>
      </c>
      <c r="D152" t="s">
        <v>23</v>
      </c>
      <c r="E152" t="s">
        <v>538</v>
      </c>
      <c r="F152" t="s">
        <v>153</v>
      </c>
      <c r="G152" t="s">
        <v>17</v>
      </c>
      <c r="H152" t="s">
        <v>16</v>
      </c>
      <c r="I152" t="s">
        <v>15</v>
      </c>
      <c r="J152" t="s">
        <v>537</v>
      </c>
      <c r="K152" t="s">
        <v>13</v>
      </c>
      <c r="L152" t="s">
        <v>536</v>
      </c>
      <c r="M152" t="s">
        <v>150</v>
      </c>
      <c r="N152" t="s">
        <v>535</v>
      </c>
      <c r="O152" t="s">
        <v>9</v>
      </c>
      <c r="P152" t="s">
        <v>29</v>
      </c>
      <c r="Q152" t="s">
        <v>124</v>
      </c>
      <c r="R152" t="s">
        <v>534</v>
      </c>
      <c r="U152" s="2">
        <v>45989</v>
      </c>
      <c r="V152" s="2">
        <v>45985</v>
      </c>
      <c r="W152" s="1">
        <v>8537.56</v>
      </c>
      <c r="X152"/>
      <c r="Y152" t="s">
        <v>6</v>
      </c>
      <c r="Z152" t="s">
        <v>5</v>
      </c>
      <c r="AA152">
        <v>46357</v>
      </c>
      <c r="AB152" t="s">
        <v>533</v>
      </c>
      <c r="AC152">
        <v>4268.78</v>
      </c>
      <c r="AD152">
        <v>4268.78</v>
      </c>
      <c r="AE152">
        <v>0</v>
      </c>
      <c r="AF152">
        <v>4463.8599999999997</v>
      </c>
      <c r="AG152">
        <v>4321.3</v>
      </c>
      <c r="AH152">
        <v>0</v>
      </c>
      <c r="AI152" t="s">
        <v>532</v>
      </c>
      <c r="AK152">
        <v>0</v>
      </c>
      <c r="AL152" t="s">
        <v>532</v>
      </c>
      <c r="AN152" t="s">
        <v>531</v>
      </c>
      <c r="AO152" t="s">
        <v>530</v>
      </c>
      <c r="AP152">
        <v>4268.78</v>
      </c>
      <c r="AS152" s="1">
        <v>57162.27</v>
      </c>
      <c r="AT152" s="3">
        <v>46022</v>
      </c>
      <c r="AX152" t="s">
        <v>2</v>
      </c>
      <c r="AY152" s="1">
        <v>28910.27</v>
      </c>
      <c r="AZ152" s="1">
        <v>28252</v>
      </c>
      <c r="BA152" s="1" t="s">
        <v>0</v>
      </c>
      <c r="BB152" t="s">
        <v>23</v>
      </c>
      <c r="BC152" t="s">
        <v>0</v>
      </c>
    </row>
    <row r="153" spans="1:55" x14ac:dyDescent="0.35">
      <c r="A153" t="s">
        <v>529</v>
      </c>
      <c r="B153">
        <v>75180</v>
      </c>
      <c r="C153" t="s">
        <v>528</v>
      </c>
      <c r="D153" t="s">
        <v>23</v>
      </c>
      <c r="E153" t="s">
        <v>527</v>
      </c>
      <c r="F153" t="s">
        <v>139</v>
      </c>
      <c r="G153" t="s">
        <v>17</v>
      </c>
      <c r="H153" t="s">
        <v>16</v>
      </c>
      <c r="I153" t="s">
        <v>15</v>
      </c>
      <c r="J153" t="s">
        <v>138</v>
      </c>
      <c r="K153" t="s">
        <v>33</v>
      </c>
      <c r="L153" t="s">
        <v>526</v>
      </c>
      <c r="M153" t="s">
        <v>136</v>
      </c>
      <c r="N153" t="s">
        <v>303</v>
      </c>
      <c r="O153" t="s">
        <v>42</v>
      </c>
      <c r="P153" t="s">
        <v>29</v>
      </c>
      <c r="Q153" t="s">
        <v>124</v>
      </c>
      <c r="R153" t="s">
        <v>28</v>
      </c>
      <c r="U153" s="2">
        <v>45992</v>
      </c>
      <c r="V153" s="2">
        <v>45988</v>
      </c>
      <c r="W153" s="1">
        <v>40000</v>
      </c>
      <c r="X153"/>
      <c r="Y153" t="s">
        <v>133</v>
      </c>
      <c r="Z153" t="s">
        <v>5</v>
      </c>
      <c r="AB153" t="s">
        <v>330</v>
      </c>
      <c r="AC153">
        <v>20000</v>
      </c>
      <c r="AD153">
        <v>20000</v>
      </c>
      <c r="AE153">
        <v>0</v>
      </c>
      <c r="AF153">
        <v>20793.330000000002</v>
      </c>
      <c r="AG153">
        <v>20220</v>
      </c>
      <c r="AH153">
        <v>0</v>
      </c>
      <c r="AI153" t="s">
        <v>132</v>
      </c>
      <c r="AK153">
        <v>0</v>
      </c>
      <c r="AL153" t="s">
        <v>132</v>
      </c>
      <c r="AN153" t="s">
        <v>525</v>
      </c>
      <c r="AO153" t="s">
        <v>524</v>
      </c>
      <c r="AP153">
        <v>20000</v>
      </c>
      <c r="AS153" s="1">
        <v>82201.33</v>
      </c>
      <c r="AT153" s="3">
        <v>46022</v>
      </c>
      <c r="AX153" t="s">
        <v>2</v>
      </c>
      <c r="AY153" s="1">
        <v>41828</v>
      </c>
      <c r="AZ153" s="1">
        <v>40000</v>
      </c>
      <c r="BA153" s="1" t="s">
        <v>0</v>
      </c>
      <c r="BB153" t="s">
        <v>23</v>
      </c>
      <c r="BC153" t="s">
        <v>0</v>
      </c>
    </row>
    <row r="154" spans="1:55" x14ac:dyDescent="0.35">
      <c r="A154" t="s">
        <v>523</v>
      </c>
      <c r="B154">
        <v>75220</v>
      </c>
      <c r="C154" t="s">
        <v>522</v>
      </c>
      <c r="D154" t="s">
        <v>20</v>
      </c>
      <c r="E154" t="s">
        <v>96</v>
      </c>
      <c r="F154" t="s">
        <v>77</v>
      </c>
      <c r="G154" t="s">
        <v>17</v>
      </c>
      <c r="H154" t="s">
        <v>16</v>
      </c>
      <c r="I154" t="s">
        <v>15</v>
      </c>
      <c r="J154" t="s">
        <v>517</v>
      </c>
      <c r="K154" t="s">
        <v>13</v>
      </c>
      <c r="L154" t="s">
        <v>521</v>
      </c>
      <c r="M154" t="s">
        <v>11</v>
      </c>
      <c r="N154" t="s">
        <v>94</v>
      </c>
      <c r="O154" t="s">
        <v>9</v>
      </c>
      <c r="P154" t="s">
        <v>8</v>
      </c>
      <c r="Q154" t="s">
        <v>8</v>
      </c>
      <c r="R154" t="s">
        <v>7</v>
      </c>
      <c r="U154" s="2">
        <v>45992</v>
      </c>
      <c r="V154" s="2">
        <v>45986</v>
      </c>
      <c r="W154" s="1">
        <v>77878</v>
      </c>
      <c r="X154"/>
      <c r="Y154" t="s">
        <v>6</v>
      </c>
      <c r="Z154" t="s">
        <v>5</v>
      </c>
      <c r="AA154">
        <v>46357</v>
      </c>
      <c r="AB154" t="s">
        <v>520</v>
      </c>
      <c r="AC154">
        <v>77878</v>
      </c>
      <c r="AD154">
        <v>0</v>
      </c>
      <c r="AE154">
        <v>0</v>
      </c>
      <c r="AF154">
        <v>79751.08</v>
      </c>
      <c r="AG154">
        <v>0</v>
      </c>
      <c r="AH154">
        <v>0</v>
      </c>
      <c r="AK154">
        <v>0</v>
      </c>
      <c r="AN154" t="s">
        <v>91</v>
      </c>
      <c r="AO154" t="s">
        <v>90</v>
      </c>
      <c r="AP154">
        <v>38939</v>
      </c>
      <c r="AS154" s="1">
        <v>40186.660000000003</v>
      </c>
      <c r="AT154" s="3">
        <v>46022</v>
      </c>
      <c r="AX154" t="s">
        <v>2</v>
      </c>
      <c r="AY154" s="1">
        <v>20093.330000000002</v>
      </c>
      <c r="AZ154" s="1">
        <v>20000</v>
      </c>
      <c r="BA154" s="1" t="s">
        <v>0</v>
      </c>
      <c r="BB154" t="s">
        <v>1</v>
      </c>
      <c r="BC154" t="s">
        <v>0</v>
      </c>
    </row>
    <row r="155" spans="1:55" x14ac:dyDescent="0.35">
      <c r="A155" t="s">
        <v>519</v>
      </c>
      <c r="B155">
        <v>5485</v>
      </c>
      <c r="C155" t="s">
        <v>518</v>
      </c>
      <c r="D155" t="s">
        <v>20</v>
      </c>
      <c r="E155" t="s">
        <v>96</v>
      </c>
      <c r="F155" t="s">
        <v>77</v>
      </c>
      <c r="G155" t="s">
        <v>17</v>
      </c>
      <c r="H155" t="s">
        <v>16</v>
      </c>
      <c r="I155" t="s">
        <v>15</v>
      </c>
      <c r="J155" t="s">
        <v>517</v>
      </c>
      <c r="K155" t="s">
        <v>13</v>
      </c>
      <c r="L155" t="s">
        <v>516</v>
      </c>
      <c r="M155" t="s">
        <v>11</v>
      </c>
      <c r="N155" t="s">
        <v>94</v>
      </c>
      <c r="O155" t="s">
        <v>9</v>
      </c>
      <c r="P155" t="s">
        <v>331</v>
      </c>
      <c r="Q155" t="s">
        <v>8</v>
      </c>
      <c r="R155" t="s">
        <v>7</v>
      </c>
      <c r="U155" s="2">
        <v>45992</v>
      </c>
      <c r="V155" s="2">
        <v>45988</v>
      </c>
      <c r="W155" s="1">
        <v>56504</v>
      </c>
      <c r="X155"/>
      <c r="Y155" t="s">
        <v>6</v>
      </c>
      <c r="Z155" t="s">
        <v>5</v>
      </c>
      <c r="AA155">
        <v>46357</v>
      </c>
      <c r="AB155" t="s">
        <v>515</v>
      </c>
      <c r="AC155">
        <v>56504</v>
      </c>
      <c r="AD155">
        <v>0</v>
      </c>
      <c r="AE155">
        <v>0</v>
      </c>
      <c r="AF155">
        <v>57162.27</v>
      </c>
      <c r="AG155">
        <v>0</v>
      </c>
      <c r="AH155">
        <v>0</v>
      </c>
      <c r="AK155">
        <v>0</v>
      </c>
      <c r="AN155" t="s">
        <v>91</v>
      </c>
      <c r="AO155" t="s">
        <v>90</v>
      </c>
      <c r="AP155">
        <v>28252</v>
      </c>
      <c r="AS155" s="1">
        <v>948643.76</v>
      </c>
      <c r="AT155" s="3">
        <v>46022</v>
      </c>
      <c r="AX155" t="s">
        <v>2</v>
      </c>
      <c r="AY155" s="1">
        <v>19095.62</v>
      </c>
      <c r="AZ155" s="1">
        <v>18261.09</v>
      </c>
      <c r="BA155" s="1">
        <v>18261.09</v>
      </c>
      <c r="BB155" t="s">
        <v>1</v>
      </c>
      <c r="BC155" t="b">
        <f>AZ155=BA155</f>
        <v>1</v>
      </c>
    </row>
    <row r="156" spans="1:55" x14ac:dyDescent="0.35">
      <c r="A156" t="s">
        <v>514</v>
      </c>
      <c r="B156">
        <v>75172</v>
      </c>
      <c r="C156" t="s">
        <v>513</v>
      </c>
      <c r="D156" t="s">
        <v>20</v>
      </c>
      <c r="E156" t="s">
        <v>96</v>
      </c>
      <c r="F156" t="s">
        <v>77</v>
      </c>
      <c r="G156" t="s">
        <v>17</v>
      </c>
      <c r="H156" t="s">
        <v>16</v>
      </c>
      <c r="I156" t="s">
        <v>15</v>
      </c>
      <c r="J156" t="s">
        <v>508</v>
      </c>
      <c r="K156" t="s">
        <v>13</v>
      </c>
      <c r="L156" t="s">
        <v>512</v>
      </c>
      <c r="M156" t="s">
        <v>11</v>
      </c>
      <c r="N156" t="s">
        <v>94</v>
      </c>
      <c r="O156" t="s">
        <v>9</v>
      </c>
      <c r="P156" t="s">
        <v>8</v>
      </c>
      <c r="Q156" t="s">
        <v>8</v>
      </c>
      <c r="R156" t="s">
        <v>7</v>
      </c>
      <c r="U156" s="2">
        <v>45992</v>
      </c>
      <c r="V156" s="2">
        <v>45988</v>
      </c>
      <c r="W156" s="1">
        <v>46754</v>
      </c>
      <c r="X156"/>
      <c r="Y156" t="s">
        <v>6</v>
      </c>
      <c r="Z156" t="s">
        <v>5</v>
      </c>
      <c r="AA156">
        <v>46357</v>
      </c>
      <c r="AB156" t="s">
        <v>511</v>
      </c>
      <c r="AC156">
        <v>46754</v>
      </c>
      <c r="AD156">
        <v>0</v>
      </c>
      <c r="AE156">
        <v>0</v>
      </c>
      <c r="AF156">
        <v>47878.5</v>
      </c>
      <c r="AG156">
        <v>0</v>
      </c>
      <c r="AH156">
        <v>0</v>
      </c>
      <c r="AK156">
        <v>0</v>
      </c>
      <c r="AN156" t="s">
        <v>91</v>
      </c>
      <c r="AO156" t="s">
        <v>90</v>
      </c>
      <c r="AP156">
        <v>23377</v>
      </c>
      <c r="AS156" s="1">
        <v>36650.81</v>
      </c>
      <c r="AT156" s="3">
        <v>46022</v>
      </c>
      <c r="AX156" t="s">
        <v>2</v>
      </c>
      <c r="AY156" s="1">
        <v>18537.5</v>
      </c>
      <c r="AZ156" s="1">
        <v>17895</v>
      </c>
      <c r="BA156" s="1" t="s">
        <v>0</v>
      </c>
      <c r="BB156" t="s">
        <v>1</v>
      </c>
      <c r="BC156" t="s">
        <v>0</v>
      </c>
    </row>
    <row r="157" spans="1:55" x14ac:dyDescent="0.35">
      <c r="A157" t="s">
        <v>510</v>
      </c>
      <c r="B157">
        <v>66382</v>
      </c>
      <c r="C157" t="s">
        <v>509</v>
      </c>
      <c r="D157" t="s">
        <v>20</v>
      </c>
      <c r="E157" t="s">
        <v>96</v>
      </c>
      <c r="F157" t="s">
        <v>77</v>
      </c>
      <c r="G157" t="s">
        <v>17</v>
      </c>
      <c r="H157" t="s">
        <v>16</v>
      </c>
      <c r="I157" t="s">
        <v>15</v>
      </c>
      <c r="J157" t="s">
        <v>508</v>
      </c>
      <c r="K157" t="s">
        <v>13</v>
      </c>
      <c r="L157" t="s">
        <v>507</v>
      </c>
      <c r="M157" t="s">
        <v>11</v>
      </c>
      <c r="N157" t="s">
        <v>94</v>
      </c>
      <c r="O157" t="s">
        <v>9</v>
      </c>
      <c r="P157" t="s">
        <v>8</v>
      </c>
      <c r="Q157" t="s">
        <v>8</v>
      </c>
      <c r="R157" t="s">
        <v>7</v>
      </c>
      <c r="U157" s="2">
        <v>45992</v>
      </c>
      <c r="V157" s="2">
        <v>45988</v>
      </c>
      <c r="W157" s="1">
        <v>41562</v>
      </c>
      <c r="X157"/>
      <c r="Y157" t="s">
        <v>6</v>
      </c>
      <c r="Z157" t="s">
        <v>5</v>
      </c>
      <c r="AA157">
        <v>46357</v>
      </c>
      <c r="AB157" t="s">
        <v>506</v>
      </c>
      <c r="AC157">
        <v>41562</v>
      </c>
      <c r="AD157">
        <v>0</v>
      </c>
      <c r="AE157">
        <v>0</v>
      </c>
      <c r="AF157">
        <v>42561.62</v>
      </c>
      <c r="AG157">
        <v>0</v>
      </c>
      <c r="AH157">
        <v>0</v>
      </c>
      <c r="AK157">
        <v>0</v>
      </c>
      <c r="AN157" t="s">
        <v>91</v>
      </c>
      <c r="AO157" t="s">
        <v>90</v>
      </c>
      <c r="AP157">
        <v>20781</v>
      </c>
      <c r="AS157" s="1">
        <v>36824.75</v>
      </c>
      <c r="AT157" s="3">
        <v>46022</v>
      </c>
      <c r="AX157" t="s">
        <v>2</v>
      </c>
      <c r="AY157" s="1">
        <v>18265.71</v>
      </c>
      <c r="AZ157" s="1">
        <v>17511.259999999998</v>
      </c>
      <c r="BA157" s="1">
        <v>17511.259999999998</v>
      </c>
      <c r="BB157" t="s">
        <v>1</v>
      </c>
      <c r="BC157" t="b">
        <f>AZ157=BA157</f>
        <v>1</v>
      </c>
    </row>
    <row r="158" spans="1:55" x14ac:dyDescent="0.35">
      <c r="A158" t="s">
        <v>505</v>
      </c>
      <c r="B158">
        <v>6854</v>
      </c>
      <c r="C158" t="s">
        <v>504</v>
      </c>
      <c r="D158" t="s">
        <v>20</v>
      </c>
      <c r="E158" t="s">
        <v>96</v>
      </c>
      <c r="F158" t="s">
        <v>77</v>
      </c>
      <c r="G158" t="s">
        <v>17</v>
      </c>
      <c r="H158" t="s">
        <v>16</v>
      </c>
      <c r="I158" t="s">
        <v>15</v>
      </c>
      <c r="J158" t="s">
        <v>503</v>
      </c>
      <c r="K158" t="s">
        <v>13</v>
      </c>
      <c r="L158" t="s">
        <v>502</v>
      </c>
      <c r="M158" t="s">
        <v>11</v>
      </c>
      <c r="N158" t="s">
        <v>94</v>
      </c>
      <c r="O158" t="s">
        <v>9</v>
      </c>
      <c r="P158" t="s">
        <v>8</v>
      </c>
      <c r="Q158" t="s">
        <v>8</v>
      </c>
      <c r="R158" t="s">
        <v>7</v>
      </c>
      <c r="U158" s="2">
        <v>45992</v>
      </c>
      <c r="V158" s="2">
        <v>45988</v>
      </c>
      <c r="W158" s="1">
        <v>35790</v>
      </c>
      <c r="X158"/>
      <c r="Y158" t="s">
        <v>6</v>
      </c>
      <c r="Z158" t="s">
        <v>5</v>
      </c>
      <c r="AA158">
        <v>46357</v>
      </c>
      <c r="AB158" t="s">
        <v>501</v>
      </c>
      <c r="AC158">
        <v>35790</v>
      </c>
      <c r="AD158">
        <v>0</v>
      </c>
      <c r="AE158">
        <v>0</v>
      </c>
      <c r="AF158">
        <v>36650.81</v>
      </c>
      <c r="AG158">
        <v>0</v>
      </c>
      <c r="AH158">
        <v>0</v>
      </c>
      <c r="AK158">
        <v>0</v>
      </c>
      <c r="AN158" t="s">
        <v>91</v>
      </c>
      <c r="AO158" t="s">
        <v>90</v>
      </c>
      <c r="AP158">
        <v>17895</v>
      </c>
      <c r="AS158" s="1">
        <v>136066.84</v>
      </c>
      <c r="AT158" s="3">
        <v>46022</v>
      </c>
      <c r="AX158" t="s">
        <v>2</v>
      </c>
      <c r="AY158" s="1">
        <v>15606.78</v>
      </c>
      <c r="AZ158" s="1">
        <v>15011.33</v>
      </c>
      <c r="BA158" s="1">
        <v>15011.33</v>
      </c>
      <c r="BB158" t="s">
        <v>1</v>
      </c>
      <c r="BC158" t="b">
        <f>AZ158=BA158</f>
        <v>1</v>
      </c>
    </row>
    <row r="159" spans="1:55" x14ac:dyDescent="0.35">
      <c r="A159" t="s">
        <v>500</v>
      </c>
      <c r="B159">
        <v>67391</v>
      </c>
      <c r="C159" t="s">
        <v>499</v>
      </c>
      <c r="D159" t="s">
        <v>20</v>
      </c>
      <c r="E159" t="s">
        <v>96</v>
      </c>
      <c r="F159" t="s">
        <v>77</v>
      </c>
      <c r="G159" t="s">
        <v>17</v>
      </c>
      <c r="H159" t="s">
        <v>16</v>
      </c>
      <c r="I159" t="s">
        <v>15</v>
      </c>
      <c r="J159" t="s">
        <v>498</v>
      </c>
      <c r="K159" t="s">
        <v>13</v>
      </c>
      <c r="L159" t="s">
        <v>497</v>
      </c>
      <c r="M159" t="s">
        <v>11</v>
      </c>
      <c r="N159" t="s">
        <v>94</v>
      </c>
      <c r="O159" t="s">
        <v>9</v>
      </c>
      <c r="P159" t="s">
        <v>8</v>
      </c>
      <c r="Q159" t="s">
        <v>8</v>
      </c>
      <c r="R159" t="s">
        <v>7</v>
      </c>
      <c r="U159" s="2">
        <v>45992</v>
      </c>
      <c r="V159" s="2">
        <v>45986</v>
      </c>
      <c r="W159" s="1">
        <v>28764</v>
      </c>
      <c r="X159"/>
      <c r="Y159" t="s">
        <v>6</v>
      </c>
      <c r="Z159" t="s">
        <v>5</v>
      </c>
      <c r="AA159">
        <v>46357</v>
      </c>
      <c r="AB159" t="s">
        <v>496</v>
      </c>
      <c r="AC159">
        <v>28764</v>
      </c>
      <c r="AD159">
        <v>0</v>
      </c>
      <c r="AE159">
        <v>0</v>
      </c>
      <c r="AF159">
        <v>29455.82</v>
      </c>
      <c r="AG159">
        <v>0</v>
      </c>
      <c r="AH159">
        <v>0</v>
      </c>
      <c r="AK159">
        <v>0</v>
      </c>
      <c r="AN159" t="s">
        <v>91</v>
      </c>
      <c r="AO159" t="s">
        <v>90</v>
      </c>
      <c r="AP159">
        <v>14382</v>
      </c>
      <c r="AS159" s="1">
        <v>9323.35</v>
      </c>
      <c r="AT159" s="3">
        <v>46022</v>
      </c>
      <c r="AX159" t="s">
        <v>2</v>
      </c>
      <c r="AY159" s="1">
        <v>9323.23</v>
      </c>
      <c r="AZ159" s="1">
        <v>8967.52</v>
      </c>
      <c r="BA159" s="1">
        <v>8967.52</v>
      </c>
      <c r="BB159" t="s">
        <v>1</v>
      </c>
      <c r="BC159" t="b">
        <f>AZ159=BA159</f>
        <v>1</v>
      </c>
    </row>
    <row r="160" spans="1:55" x14ac:dyDescent="0.35">
      <c r="A160" t="s">
        <v>495</v>
      </c>
      <c r="B160">
        <v>75210</v>
      </c>
      <c r="C160" t="s">
        <v>494</v>
      </c>
      <c r="D160" t="s">
        <v>20</v>
      </c>
      <c r="E160" t="s">
        <v>493</v>
      </c>
      <c r="F160" t="s">
        <v>18</v>
      </c>
      <c r="G160" t="s">
        <v>17</v>
      </c>
      <c r="H160" t="s">
        <v>16</v>
      </c>
      <c r="I160" t="s">
        <v>15</v>
      </c>
      <c r="J160" t="s">
        <v>492</v>
      </c>
      <c r="K160" t="s">
        <v>33</v>
      </c>
      <c r="L160" t="s">
        <v>491</v>
      </c>
      <c r="M160" t="s">
        <v>11</v>
      </c>
      <c r="N160" t="s">
        <v>490</v>
      </c>
      <c r="O160" t="s">
        <v>489</v>
      </c>
      <c r="P160" t="s">
        <v>8</v>
      </c>
      <c r="Q160" t="s">
        <v>8</v>
      </c>
      <c r="R160" t="s">
        <v>7</v>
      </c>
      <c r="U160" s="2">
        <v>45992</v>
      </c>
      <c r="V160" s="2">
        <v>45966</v>
      </c>
      <c r="W160" s="1">
        <v>6826.56</v>
      </c>
      <c r="X160"/>
      <c r="Y160" t="s">
        <v>6</v>
      </c>
      <c r="Z160" t="s">
        <v>5</v>
      </c>
      <c r="AA160">
        <v>46357</v>
      </c>
      <c r="AB160" t="s">
        <v>488</v>
      </c>
      <c r="AC160">
        <v>6826.56</v>
      </c>
      <c r="AD160">
        <v>0</v>
      </c>
      <c r="AE160">
        <v>0</v>
      </c>
      <c r="AF160">
        <v>6906.09</v>
      </c>
      <c r="AG160">
        <v>0</v>
      </c>
      <c r="AH160">
        <v>0</v>
      </c>
      <c r="AK160">
        <v>0</v>
      </c>
      <c r="AN160" t="s">
        <v>487</v>
      </c>
      <c r="AO160" t="s">
        <v>486</v>
      </c>
      <c r="AP160">
        <v>3413.28</v>
      </c>
      <c r="AS160" s="1">
        <v>5900.98</v>
      </c>
      <c r="AT160" s="3">
        <v>46022</v>
      </c>
      <c r="AX160" t="s">
        <v>2</v>
      </c>
      <c r="AY160" s="1">
        <v>2950.49</v>
      </c>
      <c r="AZ160" s="1">
        <v>2950.49</v>
      </c>
      <c r="BA160" s="1" t="s">
        <v>0</v>
      </c>
      <c r="BB160" t="s">
        <v>1</v>
      </c>
      <c r="BC160" t="s">
        <v>0</v>
      </c>
    </row>
    <row r="161" spans="1:55" x14ac:dyDescent="0.35">
      <c r="A161" t="s">
        <v>485</v>
      </c>
      <c r="B161">
        <v>75159</v>
      </c>
      <c r="C161" t="s">
        <v>484</v>
      </c>
      <c r="D161" t="s">
        <v>20</v>
      </c>
      <c r="E161" t="s">
        <v>479</v>
      </c>
      <c r="F161" t="s">
        <v>139</v>
      </c>
      <c r="G161" t="s">
        <v>17</v>
      </c>
      <c r="H161" t="s">
        <v>16</v>
      </c>
      <c r="I161" t="s">
        <v>15</v>
      </c>
      <c r="J161" t="s">
        <v>390</v>
      </c>
      <c r="K161" t="s">
        <v>33</v>
      </c>
      <c r="L161" t="s">
        <v>483</v>
      </c>
      <c r="M161" t="s">
        <v>11</v>
      </c>
      <c r="N161" t="s">
        <v>477</v>
      </c>
      <c r="O161" t="s">
        <v>42</v>
      </c>
      <c r="P161" t="s">
        <v>8</v>
      </c>
      <c r="Q161" t="s">
        <v>8</v>
      </c>
      <c r="R161" t="s">
        <v>7</v>
      </c>
      <c r="U161" s="2">
        <v>45992</v>
      </c>
      <c r="V161" s="2">
        <v>45686</v>
      </c>
      <c r="W161" s="1">
        <v>1141.3</v>
      </c>
      <c r="X161"/>
      <c r="Y161" t="s">
        <v>6</v>
      </c>
      <c r="Z161" t="s">
        <v>5</v>
      </c>
      <c r="AA161">
        <v>46357</v>
      </c>
      <c r="AB161" t="s">
        <v>482</v>
      </c>
      <c r="AC161">
        <v>1141.3</v>
      </c>
      <c r="AD161">
        <v>0</v>
      </c>
      <c r="AE161">
        <v>0</v>
      </c>
      <c r="AF161">
        <v>1154.5999999999999</v>
      </c>
      <c r="AG161">
        <v>0</v>
      </c>
      <c r="AH161">
        <v>0</v>
      </c>
      <c r="AK161">
        <v>0</v>
      </c>
      <c r="AN161" t="s">
        <v>475</v>
      </c>
      <c r="AO161" t="s">
        <v>474</v>
      </c>
      <c r="AP161">
        <v>570.65</v>
      </c>
      <c r="AS161" s="1">
        <v>10146.49</v>
      </c>
      <c r="AT161" s="3">
        <v>46022</v>
      </c>
      <c r="AX161" t="s">
        <v>2</v>
      </c>
      <c r="AY161" s="1">
        <v>0.11</v>
      </c>
      <c r="AZ161" s="1">
        <v>0.11</v>
      </c>
      <c r="BA161" s="1" t="s">
        <v>0</v>
      </c>
      <c r="BB161" t="s">
        <v>1</v>
      </c>
      <c r="BC161" t="s">
        <v>0</v>
      </c>
    </row>
    <row r="162" spans="1:55" x14ac:dyDescent="0.35">
      <c r="A162" t="s">
        <v>481</v>
      </c>
      <c r="B162">
        <v>75179</v>
      </c>
      <c r="C162" t="s">
        <v>480</v>
      </c>
      <c r="D162" t="s">
        <v>20</v>
      </c>
      <c r="E162" t="s">
        <v>479</v>
      </c>
      <c r="F162" t="s">
        <v>139</v>
      </c>
      <c r="G162" t="s">
        <v>17</v>
      </c>
      <c r="H162" t="s">
        <v>16</v>
      </c>
      <c r="I162" t="s">
        <v>15</v>
      </c>
      <c r="J162" t="s">
        <v>390</v>
      </c>
      <c r="K162" t="s">
        <v>33</v>
      </c>
      <c r="L162" t="s">
        <v>478</v>
      </c>
      <c r="M162" t="s">
        <v>11</v>
      </c>
      <c r="N162" t="s">
        <v>477</v>
      </c>
      <c r="O162" t="s">
        <v>42</v>
      </c>
      <c r="P162" t="s">
        <v>8</v>
      </c>
      <c r="Q162" t="s">
        <v>8</v>
      </c>
      <c r="R162" t="s">
        <v>7</v>
      </c>
      <c r="U162" s="2">
        <v>45992</v>
      </c>
      <c r="V162" s="2">
        <v>45686</v>
      </c>
      <c r="W162" s="1">
        <v>1024.94</v>
      </c>
      <c r="X162"/>
      <c r="Y162" t="s">
        <v>6</v>
      </c>
      <c r="Z162" t="s">
        <v>5</v>
      </c>
      <c r="AA162">
        <v>46357</v>
      </c>
      <c r="AB162" t="s">
        <v>476</v>
      </c>
      <c r="AC162">
        <v>1024.94</v>
      </c>
      <c r="AD162">
        <v>0</v>
      </c>
      <c r="AE162">
        <v>0</v>
      </c>
      <c r="AF162">
        <v>1036.8800000000001</v>
      </c>
      <c r="AG162">
        <v>0</v>
      </c>
      <c r="AH162">
        <v>0</v>
      </c>
      <c r="AK162">
        <v>0</v>
      </c>
      <c r="AN162" t="s">
        <v>475</v>
      </c>
      <c r="AO162" t="s">
        <v>474</v>
      </c>
      <c r="AP162">
        <v>512.47</v>
      </c>
      <c r="AS162" s="1">
        <v>0.2</v>
      </c>
      <c r="AT162" s="3">
        <v>46022</v>
      </c>
      <c r="AX162" t="s">
        <v>2</v>
      </c>
      <c r="AY162" s="1">
        <v>0</v>
      </c>
      <c r="AZ162" s="1">
        <v>0</v>
      </c>
      <c r="BA162" s="1" t="s">
        <v>0</v>
      </c>
      <c r="BB162" t="s">
        <v>1</v>
      </c>
      <c r="BC162" t="s">
        <v>0</v>
      </c>
    </row>
    <row r="163" spans="1:55" x14ac:dyDescent="0.35">
      <c r="A163" t="s">
        <v>473</v>
      </c>
      <c r="B163">
        <v>11907</v>
      </c>
      <c r="C163" t="s">
        <v>472</v>
      </c>
      <c r="D163" t="s">
        <v>23</v>
      </c>
      <c r="E163" t="s">
        <v>471</v>
      </c>
      <c r="F163" t="s">
        <v>336</v>
      </c>
      <c r="G163" t="s">
        <v>17</v>
      </c>
      <c r="H163" t="s">
        <v>181</v>
      </c>
      <c r="I163" t="s">
        <v>15</v>
      </c>
      <c r="J163" t="s">
        <v>470</v>
      </c>
      <c r="K163" t="s">
        <v>179</v>
      </c>
      <c r="L163" t="s">
        <v>469</v>
      </c>
      <c r="M163" t="s">
        <v>333</v>
      </c>
      <c r="N163" t="s">
        <v>468</v>
      </c>
      <c r="O163" t="s">
        <v>175</v>
      </c>
      <c r="P163" t="s">
        <v>29</v>
      </c>
      <c r="Q163" t="s">
        <v>124</v>
      </c>
      <c r="R163" t="s">
        <v>28</v>
      </c>
      <c r="U163" s="2">
        <v>45994</v>
      </c>
      <c r="V163" s="2">
        <v>45993</v>
      </c>
      <c r="W163" s="1">
        <v>80000</v>
      </c>
      <c r="X163"/>
      <c r="Y163" t="s">
        <v>147</v>
      </c>
      <c r="Z163" t="s">
        <v>5</v>
      </c>
      <c r="AA163">
        <v>46266</v>
      </c>
      <c r="AB163" t="s">
        <v>467</v>
      </c>
      <c r="AC163">
        <v>40000</v>
      </c>
      <c r="AD163">
        <v>40000</v>
      </c>
      <c r="AE163">
        <v>0</v>
      </c>
      <c r="AF163">
        <v>41828</v>
      </c>
      <c r="AG163">
        <v>40373.33</v>
      </c>
      <c r="AH163">
        <v>0</v>
      </c>
      <c r="AI163" t="s">
        <v>466</v>
      </c>
      <c r="AK163">
        <v>0</v>
      </c>
      <c r="AL163" t="s">
        <v>465</v>
      </c>
      <c r="AN163" t="s">
        <v>464</v>
      </c>
      <c r="AO163" t="s">
        <v>463</v>
      </c>
      <c r="AP163">
        <v>40000</v>
      </c>
      <c r="AS163" s="1">
        <v>237756.15</v>
      </c>
      <c r="AT163" s="3">
        <v>46022</v>
      </c>
      <c r="AX163" t="s">
        <v>2</v>
      </c>
      <c r="AY163" s="1">
        <v>103435.25</v>
      </c>
      <c r="AZ163" s="1">
        <v>99488.86</v>
      </c>
      <c r="BA163" s="1">
        <v>99488.86</v>
      </c>
      <c r="BB163" t="s">
        <v>23</v>
      </c>
      <c r="BC163" t="b">
        <f>AZ163=BA163</f>
        <v>1</v>
      </c>
    </row>
    <row r="164" spans="1:55" x14ac:dyDescent="0.35">
      <c r="A164" t="s">
        <v>462</v>
      </c>
      <c r="B164">
        <v>20723</v>
      </c>
      <c r="C164" t="s">
        <v>461</v>
      </c>
      <c r="D164" t="s">
        <v>457</v>
      </c>
      <c r="E164" t="s">
        <v>460</v>
      </c>
      <c r="G164" t="s">
        <v>17</v>
      </c>
      <c r="H164" t="s">
        <v>16</v>
      </c>
      <c r="I164" t="s">
        <v>15</v>
      </c>
      <c r="J164" t="s">
        <v>180</v>
      </c>
      <c r="K164" t="s">
        <v>13</v>
      </c>
      <c r="L164" t="s">
        <v>459</v>
      </c>
      <c r="M164" t="s">
        <v>31</v>
      </c>
      <c r="N164" t="s">
        <v>458</v>
      </c>
      <c r="O164" t="s">
        <v>9</v>
      </c>
      <c r="P164" t="s">
        <v>457</v>
      </c>
      <c r="Q164" t="s">
        <v>8</v>
      </c>
      <c r="R164" t="s">
        <v>456</v>
      </c>
      <c r="U164" s="2">
        <v>45994</v>
      </c>
      <c r="V164" s="2">
        <v>45982</v>
      </c>
      <c r="W164" s="1">
        <v>0.2</v>
      </c>
      <c r="X164"/>
      <c r="Y164" t="s">
        <v>6</v>
      </c>
      <c r="Z164" t="s">
        <v>5</v>
      </c>
      <c r="AC164">
        <v>0.2</v>
      </c>
      <c r="AD164">
        <v>0</v>
      </c>
      <c r="AE164">
        <v>0</v>
      </c>
      <c r="AF164">
        <v>0.2</v>
      </c>
      <c r="AG164">
        <v>0</v>
      </c>
      <c r="AH164">
        <v>0</v>
      </c>
      <c r="AK164">
        <v>0</v>
      </c>
      <c r="AP164">
        <v>0</v>
      </c>
      <c r="AS164" s="1">
        <v>47145.440000000002</v>
      </c>
      <c r="AT164" s="3">
        <v>46022</v>
      </c>
      <c r="AX164" t="s">
        <v>2</v>
      </c>
      <c r="AY164" s="1">
        <v>24371.4</v>
      </c>
      <c r="AZ164" s="1">
        <v>23306.3</v>
      </c>
      <c r="BA164" s="1">
        <v>23306.3</v>
      </c>
      <c r="BB164" t="s">
        <v>23</v>
      </c>
      <c r="BC164" t="b">
        <f>AZ164=BA164</f>
        <v>1</v>
      </c>
    </row>
    <row r="165" spans="1:55" x14ac:dyDescent="0.35">
      <c r="A165" t="s">
        <v>455</v>
      </c>
      <c r="B165">
        <v>75176</v>
      </c>
      <c r="C165" t="s">
        <v>454</v>
      </c>
      <c r="D165" t="s">
        <v>23</v>
      </c>
      <c r="E165" t="s">
        <v>453</v>
      </c>
      <c r="F165" t="s">
        <v>182</v>
      </c>
      <c r="G165" t="s">
        <v>17</v>
      </c>
      <c r="H165" t="s">
        <v>181</v>
      </c>
      <c r="I165" t="s">
        <v>15</v>
      </c>
      <c r="J165" t="s">
        <v>452</v>
      </c>
      <c r="K165" t="s">
        <v>179</v>
      </c>
      <c r="L165" t="s">
        <v>451</v>
      </c>
      <c r="M165" t="s">
        <v>202</v>
      </c>
      <c r="N165" t="s">
        <v>450</v>
      </c>
      <c r="O165" t="s">
        <v>449</v>
      </c>
      <c r="P165" t="s">
        <v>29</v>
      </c>
      <c r="Q165" t="s">
        <v>124</v>
      </c>
      <c r="R165" t="s">
        <v>28</v>
      </c>
      <c r="U165" s="2">
        <v>45999</v>
      </c>
      <c r="V165" s="2">
        <v>45995</v>
      </c>
      <c r="W165" s="1">
        <v>200000</v>
      </c>
      <c r="X165"/>
      <c r="Y165" t="s">
        <v>147</v>
      </c>
      <c r="Z165" t="s">
        <v>5</v>
      </c>
      <c r="AA165">
        <v>46447</v>
      </c>
      <c r="AB165" t="s">
        <v>448</v>
      </c>
      <c r="AC165">
        <v>0</v>
      </c>
      <c r="AD165">
        <v>200000</v>
      </c>
      <c r="AE165">
        <v>0</v>
      </c>
      <c r="AF165">
        <v>0</v>
      </c>
      <c r="AG165">
        <v>201733.34</v>
      </c>
      <c r="AH165">
        <v>0</v>
      </c>
      <c r="AI165" t="s">
        <v>447</v>
      </c>
      <c r="AK165">
        <v>0</v>
      </c>
      <c r="AL165" t="s">
        <v>447</v>
      </c>
      <c r="AN165" t="s">
        <v>446</v>
      </c>
      <c r="AO165" t="s">
        <v>445</v>
      </c>
      <c r="AP165">
        <v>100000</v>
      </c>
      <c r="AS165" s="1">
        <v>41013.33</v>
      </c>
      <c r="AT165" s="3">
        <v>46022</v>
      </c>
      <c r="AX165" t="s">
        <v>2</v>
      </c>
      <c r="AY165" s="1">
        <v>20793.330000000002</v>
      </c>
      <c r="AZ165" s="1">
        <v>20000</v>
      </c>
      <c r="BA165" s="1" t="s">
        <v>0</v>
      </c>
      <c r="BB165" t="s">
        <v>196</v>
      </c>
      <c r="BC165" t="s">
        <v>0</v>
      </c>
    </row>
    <row r="166" spans="1:55" x14ac:dyDescent="0.35">
      <c r="A166" t="s">
        <v>444</v>
      </c>
      <c r="B166">
        <v>75187</v>
      </c>
      <c r="C166" t="s">
        <v>443</v>
      </c>
      <c r="D166" t="s">
        <v>23</v>
      </c>
      <c r="E166" t="s">
        <v>442</v>
      </c>
      <c r="F166" t="s">
        <v>441</v>
      </c>
      <c r="G166" t="s">
        <v>17</v>
      </c>
      <c r="H166" t="s">
        <v>16</v>
      </c>
      <c r="I166" t="s">
        <v>15</v>
      </c>
      <c r="J166" t="s">
        <v>440</v>
      </c>
      <c r="K166" t="s">
        <v>13</v>
      </c>
      <c r="L166" t="s">
        <v>439</v>
      </c>
      <c r="M166" t="s">
        <v>215</v>
      </c>
      <c r="N166" t="s">
        <v>149</v>
      </c>
      <c r="O166" t="s">
        <v>9</v>
      </c>
      <c r="P166" t="s">
        <v>29</v>
      </c>
      <c r="Q166" t="s">
        <v>124</v>
      </c>
      <c r="R166" t="s">
        <v>213</v>
      </c>
      <c r="U166" s="2">
        <v>46000</v>
      </c>
      <c r="V166" s="2">
        <v>45999</v>
      </c>
      <c r="W166" s="1">
        <v>1245086</v>
      </c>
      <c r="X166"/>
      <c r="Y166" t="s">
        <v>189</v>
      </c>
      <c r="Z166" t="s">
        <v>5</v>
      </c>
      <c r="AC166">
        <v>0</v>
      </c>
      <c r="AD166">
        <v>1245086</v>
      </c>
      <c r="AE166">
        <v>0</v>
      </c>
      <c r="AF166">
        <v>0</v>
      </c>
      <c r="AG166">
        <v>1254216.6399999999</v>
      </c>
      <c r="AH166">
        <v>0</v>
      </c>
      <c r="AK166">
        <v>0</v>
      </c>
      <c r="AN166" t="s">
        <v>438</v>
      </c>
      <c r="AO166" t="s">
        <v>437</v>
      </c>
      <c r="AP166">
        <v>622543</v>
      </c>
      <c r="AS166" s="1">
        <v>1254216.6399999999</v>
      </c>
      <c r="AT166" s="3">
        <v>46022</v>
      </c>
      <c r="AX166" t="s">
        <v>2</v>
      </c>
      <c r="AY166" s="1">
        <v>627108.31999999995</v>
      </c>
      <c r="AZ166" s="1">
        <v>622543</v>
      </c>
      <c r="BA166" s="1" t="s">
        <v>0</v>
      </c>
      <c r="BB166" t="s">
        <v>23</v>
      </c>
      <c r="BC166" t="s">
        <v>0</v>
      </c>
    </row>
    <row r="167" spans="1:55" x14ac:dyDescent="0.35">
      <c r="A167" t="s">
        <v>436</v>
      </c>
      <c r="B167">
        <v>75219</v>
      </c>
      <c r="C167" t="s">
        <v>435</v>
      </c>
      <c r="D167" t="s">
        <v>20</v>
      </c>
      <c r="E167" t="s">
        <v>47</v>
      </c>
      <c r="F167" t="s">
        <v>77</v>
      </c>
      <c r="G167" t="s">
        <v>17</v>
      </c>
      <c r="H167" t="s">
        <v>16</v>
      </c>
      <c r="I167" t="s">
        <v>15</v>
      </c>
      <c r="J167" t="s">
        <v>434</v>
      </c>
      <c r="K167" t="s">
        <v>33</v>
      </c>
      <c r="L167" t="s">
        <v>433</v>
      </c>
      <c r="M167" t="s">
        <v>11</v>
      </c>
      <c r="N167" t="s">
        <v>43</v>
      </c>
      <c r="O167" t="s">
        <v>42</v>
      </c>
      <c r="P167" t="s">
        <v>8</v>
      </c>
      <c r="Q167" t="s">
        <v>124</v>
      </c>
      <c r="R167" t="s">
        <v>7</v>
      </c>
      <c r="U167" s="2">
        <v>46000</v>
      </c>
      <c r="V167" s="2">
        <v>45996</v>
      </c>
      <c r="W167" s="1">
        <v>119464.14</v>
      </c>
      <c r="X167"/>
      <c r="Y167" t="s">
        <v>6</v>
      </c>
      <c r="Z167" t="s">
        <v>5</v>
      </c>
      <c r="AA167">
        <v>46357</v>
      </c>
      <c r="AB167" t="s">
        <v>432</v>
      </c>
      <c r="AC167">
        <v>119464.14</v>
      </c>
      <c r="AD167">
        <v>0</v>
      </c>
      <c r="AE167">
        <v>0</v>
      </c>
      <c r="AF167">
        <v>119464.14</v>
      </c>
      <c r="AG167">
        <v>0</v>
      </c>
      <c r="AH167">
        <v>0</v>
      </c>
      <c r="AI167" t="s">
        <v>40</v>
      </c>
      <c r="AK167">
        <v>0</v>
      </c>
      <c r="AL167" t="s">
        <v>40</v>
      </c>
      <c r="AN167" t="s">
        <v>39</v>
      </c>
      <c r="AO167" t="s">
        <v>38</v>
      </c>
      <c r="AP167">
        <v>59732.07</v>
      </c>
      <c r="AS167" s="1">
        <v>40200</v>
      </c>
      <c r="AT167" s="3">
        <v>46022</v>
      </c>
      <c r="AX167" t="s">
        <v>2</v>
      </c>
      <c r="AY167" s="1">
        <v>20100</v>
      </c>
      <c r="AZ167" s="1">
        <v>20000</v>
      </c>
      <c r="BA167" s="1" t="s">
        <v>0</v>
      </c>
      <c r="BB167" t="s">
        <v>1</v>
      </c>
      <c r="BC167" t="s">
        <v>0</v>
      </c>
    </row>
    <row r="168" spans="1:55" x14ac:dyDescent="0.35">
      <c r="A168" t="s">
        <v>431</v>
      </c>
      <c r="B168">
        <v>75221</v>
      </c>
      <c r="C168" t="s">
        <v>430</v>
      </c>
      <c r="D168" t="s">
        <v>20</v>
      </c>
      <c r="E168" t="s">
        <v>47</v>
      </c>
      <c r="F168" t="s">
        <v>77</v>
      </c>
      <c r="G168" t="s">
        <v>17</v>
      </c>
      <c r="H168" t="s">
        <v>16</v>
      </c>
      <c r="I168" t="s">
        <v>15</v>
      </c>
      <c r="J168" t="s">
        <v>390</v>
      </c>
      <c r="K168" t="s">
        <v>33</v>
      </c>
      <c r="L168" t="s">
        <v>429</v>
      </c>
      <c r="M168" t="s">
        <v>11</v>
      </c>
      <c r="N168" t="s">
        <v>43</v>
      </c>
      <c r="O168" t="s">
        <v>42</v>
      </c>
      <c r="P168" t="s">
        <v>8</v>
      </c>
      <c r="Q168" t="s">
        <v>124</v>
      </c>
      <c r="R168" t="s">
        <v>7</v>
      </c>
      <c r="U168" s="2">
        <v>46000</v>
      </c>
      <c r="V168" s="2">
        <v>45995</v>
      </c>
      <c r="W168" s="1">
        <v>64182.2</v>
      </c>
      <c r="X168"/>
      <c r="Y168" t="s">
        <v>6</v>
      </c>
      <c r="Z168" t="s">
        <v>5</v>
      </c>
      <c r="AA168">
        <v>46357</v>
      </c>
      <c r="AB168" t="s">
        <v>428</v>
      </c>
      <c r="AC168">
        <v>64182.2</v>
      </c>
      <c r="AD168">
        <v>0</v>
      </c>
      <c r="AE168">
        <v>0</v>
      </c>
      <c r="AF168">
        <v>64182.2</v>
      </c>
      <c r="AG168">
        <v>0</v>
      </c>
      <c r="AH168">
        <v>0</v>
      </c>
      <c r="AI168" t="s">
        <v>40</v>
      </c>
      <c r="AK168">
        <v>0</v>
      </c>
      <c r="AL168" t="s">
        <v>40</v>
      </c>
      <c r="AN168" t="s">
        <v>39</v>
      </c>
      <c r="AO168" t="s">
        <v>38</v>
      </c>
      <c r="AP168">
        <v>32091.1</v>
      </c>
      <c r="AS168" s="1">
        <v>40186.660000000003</v>
      </c>
      <c r="AT168" s="3">
        <v>46022</v>
      </c>
      <c r="AX168" t="s">
        <v>2</v>
      </c>
      <c r="AY168" s="1">
        <v>20093.330000000002</v>
      </c>
      <c r="AZ168" s="1">
        <v>20000</v>
      </c>
      <c r="BA168" s="1" t="s">
        <v>0</v>
      </c>
      <c r="BB168" t="s">
        <v>1</v>
      </c>
      <c r="BC168" t="s">
        <v>0</v>
      </c>
    </row>
    <row r="169" spans="1:55" x14ac:dyDescent="0.35">
      <c r="A169" t="s">
        <v>427</v>
      </c>
      <c r="B169">
        <v>75222</v>
      </c>
      <c r="C169" t="s">
        <v>426</v>
      </c>
      <c r="D169" t="s">
        <v>20</v>
      </c>
      <c r="E169" t="s">
        <v>47</v>
      </c>
      <c r="F169" t="s">
        <v>77</v>
      </c>
      <c r="G169" t="s">
        <v>17</v>
      </c>
      <c r="H169" t="s">
        <v>16</v>
      </c>
      <c r="I169" t="s">
        <v>15</v>
      </c>
      <c r="J169" t="s">
        <v>425</v>
      </c>
      <c r="K169" t="s">
        <v>33</v>
      </c>
      <c r="L169" t="s">
        <v>424</v>
      </c>
      <c r="M169" t="s">
        <v>11</v>
      </c>
      <c r="N169" t="s">
        <v>43</v>
      </c>
      <c r="O169" t="s">
        <v>42</v>
      </c>
      <c r="P169" t="s">
        <v>8</v>
      </c>
      <c r="Q169" t="s">
        <v>124</v>
      </c>
      <c r="R169" t="s">
        <v>7</v>
      </c>
      <c r="U169" s="2">
        <v>46000</v>
      </c>
      <c r="V169" s="2">
        <v>45995</v>
      </c>
      <c r="W169" s="1">
        <v>60635.26</v>
      </c>
      <c r="X169"/>
      <c r="Y169" t="s">
        <v>6</v>
      </c>
      <c r="Z169" t="s">
        <v>5</v>
      </c>
      <c r="AA169">
        <v>46357</v>
      </c>
      <c r="AB169" t="s">
        <v>423</v>
      </c>
      <c r="AC169">
        <v>60635.26</v>
      </c>
      <c r="AD169">
        <v>0</v>
      </c>
      <c r="AE169">
        <v>0</v>
      </c>
      <c r="AF169">
        <v>60635.26</v>
      </c>
      <c r="AG169">
        <v>0</v>
      </c>
      <c r="AH169">
        <v>0</v>
      </c>
      <c r="AI169" t="s">
        <v>40</v>
      </c>
      <c r="AK169">
        <v>0</v>
      </c>
      <c r="AL169" t="s">
        <v>40</v>
      </c>
      <c r="AN169" t="s">
        <v>39</v>
      </c>
      <c r="AO169" t="s">
        <v>38</v>
      </c>
      <c r="AP169">
        <v>30317.63</v>
      </c>
      <c r="AS169" s="1">
        <v>40186.660000000003</v>
      </c>
      <c r="AT169" s="3">
        <v>46022</v>
      </c>
      <c r="AX169" t="s">
        <v>2</v>
      </c>
      <c r="AY169" s="1">
        <v>20093.330000000002</v>
      </c>
      <c r="AZ169" s="1">
        <v>20000</v>
      </c>
      <c r="BA169" s="1" t="s">
        <v>0</v>
      </c>
      <c r="BB169" t="s">
        <v>1</v>
      </c>
      <c r="BC169" t="s">
        <v>0</v>
      </c>
    </row>
    <row r="170" spans="1:55" x14ac:dyDescent="0.35">
      <c r="A170" t="s">
        <v>422</v>
      </c>
      <c r="B170">
        <v>75175</v>
      </c>
      <c r="C170" t="s">
        <v>421</v>
      </c>
      <c r="D170" t="s">
        <v>20</v>
      </c>
      <c r="E170" t="s">
        <v>47</v>
      </c>
      <c r="F170" t="s">
        <v>77</v>
      </c>
      <c r="G170" t="s">
        <v>17</v>
      </c>
      <c r="H170" t="s">
        <v>16</v>
      </c>
      <c r="I170" t="s">
        <v>15</v>
      </c>
      <c r="J170" t="s">
        <v>390</v>
      </c>
      <c r="K170" t="s">
        <v>33</v>
      </c>
      <c r="L170" t="s">
        <v>420</v>
      </c>
      <c r="M170" t="s">
        <v>11</v>
      </c>
      <c r="N170" t="s">
        <v>43</v>
      </c>
      <c r="O170" t="s">
        <v>42</v>
      </c>
      <c r="P170" t="s">
        <v>8</v>
      </c>
      <c r="Q170" t="s">
        <v>124</v>
      </c>
      <c r="R170" t="s">
        <v>7</v>
      </c>
      <c r="U170" s="2">
        <v>46000</v>
      </c>
      <c r="V170" s="2">
        <v>45996</v>
      </c>
      <c r="W170" s="1">
        <v>35503.480000000003</v>
      </c>
      <c r="X170"/>
      <c r="Y170" t="s">
        <v>6</v>
      </c>
      <c r="Z170" t="s">
        <v>5</v>
      </c>
      <c r="AA170">
        <v>46357</v>
      </c>
      <c r="AB170" t="s">
        <v>419</v>
      </c>
      <c r="AC170">
        <v>35503.480000000003</v>
      </c>
      <c r="AD170">
        <v>0</v>
      </c>
      <c r="AE170">
        <v>0</v>
      </c>
      <c r="AF170">
        <v>35503.480000000003</v>
      </c>
      <c r="AG170">
        <v>0</v>
      </c>
      <c r="AH170">
        <v>0</v>
      </c>
      <c r="AI170" t="s">
        <v>40</v>
      </c>
      <c r="AK170">
        <v>0</v>
      </c>
      <c r="AL170" t="s">
        <v>40</v>
      </c>
      <c r="AN170" t="s">
        <v>39</v>
      </c>
      <c r="AO170" t="s">
        <v>38</v>
      </c>
      <c r="AP170">
        <v>17751.740000000002</v>
      </c>
      <c r="AS170" s="1">
        <v>29455.82</v>
      </c>
      <c r="AT170" s="3">
        <v>46022</v>
      </c>
      <c r="AX170" t="s">
        <v>2</v>
      </c>
      <c r="AY170" s="1">
        <v>14898.37</v>
      </c>
      <c r="AZ170" s="1">
        <v>14382</v>
      </c>
      <c r="BA170" s="1" t="s">
        <v>0</v>
      </c>
      <c r="BB170" t="s">
        <v>1</v>
      </c>
      <c r="BC170" t="s">
        <v>0</v>
      </c>
    </row>
    <row r="171" spans="1:55" x14ac:dyDescent="0.35">
      <c r="A171" t="s">
        <v>418</v>
      </c>
      <c r="B171">
        <v>6115</v>
      </c>
      <c r="C171" t="s">
        <v>417</v>
      </c>
      <c r="D171" t="s">
        <v>20</v>
      </c>
      <c r="E171" t="s">
        <v>47</v>
      </c>
      <c r="F171" t="s">
        <v>77</v>
      </c>
      <c r="G171" t="s">
        <v>17</v>
      </c>
      <c r="H171" t="s">
        <v>16</v>
      </c>
      <c r="I171" t="s">
        <v>15</v>
      </c>
      <c r="J171" t="s">
        <v>390</v>
      </c>
      <c r="K171" t="s">
        <v>33</v>
      </c>
      <c r="L171" t="s">
        <v>416</v>
      </c>
      <c r="M171" t="s">
        <v>11</v>
      </c>
      <c r="N171" t="s">
        <v>43</v>
      </c>
      <c r="O171" t="s">
        <v>42</v>
      </c>
      <c r="P171" t="s">
        <v>8</v>
      </c>
      <c r="Q171" t="s">
        <v>124</v>
      </c>
      <c r="R171" t="s">
        <v>7</v>
      </c>
      <c r="U171" s="2">
        <v>46000</v>
      </c>
      <c r="V171" s="2">
        <v>45996</v>
      </c>
      <c r="W171" s="1">
        <v>28679</v>
      </c>
      <c r="X171"/>
      <c r="Y171" t="s">
        <v>6</v>
      </c>
      <c r="Z171" t="s">
        <v>5</v>
      </c>
      <c r="AA171">
        <v>46357</v>
      </c>
      <c r="AB171" t="s">
        <v>415</v>
      </c>
      <c r="AC171">
        <v>28679</v>
      </c>
      <c r="AD171">
        <v>0</v>
      </c>
      <c r="AE171">
        <v>0</v>
      </c>
      <c r="AF171">
        <v>28679</v>
      </c>
      <c r="AG171">
        <v>0</v>
      </c>
      <c r="AH171">
        <v>0</v>
      </c>
      <c r="AI171" t="s">
        <v>40</v>
      </c>
      <c r="AK171">
        <v>0</v>
      </c>
      <c r="AL171" t="s">
        <v>40</v>
      </c>
      <c r="AN171" t="s">
        <v>39</v>
      </c>
      <c r="AO171" t="s">
        <v>38</v>
      </c>
      <c r="AP171">
        <v>14339.5</v>
      </c>
      <c r="AS171" s="1">
        <v>53017.34</v>
      </c>
      <c r="AT171" s="3">
        <v>46022</v>
      </c>
      <c r="AX171" t="s">
        <v>2</v>
      </c>
      <c r="AY171" s="4">
        <v>9109.5499999999993</v>
      </c>
      <c r="AZ171" s="1">
        <v>8733.2900000000009</v>
      </c>
      <c r="BA171" s="1">
        <v>8733.2900000000009</v>
      </c>
      <c r="BB171" t="s">
        <v>1</v>
      </c>
      <c r="BC171" t="b">
        <f>AZ171=BA171</f>
        <v>1</v>
      </c>
    </row>
    <row r="172" spans="1:55" x14ac:dyDescent="0.35">
      <c r="A172" t="s">
        <v>414</v>
      </c>
      <c r="B172">
        <v>75195</v>
      </c>
      <c r="C172" t="s">
        <v>413</v>
      </c>
      <c r="D172" t="s">
        <v>20</v>
      </c>
      <c r="E172" t="s">
        <v>47</v>
      </c>
      <c r="F172" t="s">
        <v>77</v>
      </c>
      <c r="G172" t="s">
        <v>17</v>
      </c>
      <c r="H172" t="s">
        <v>16</v>
      </c>
      <c r="I172" t="s">
        <v>15</v>
      </c>
      <c r="J172" t="s">
        <v>412</v>
      </c>
      <c r="K172" t="s">
        <v>33</v>
      </c>
      <c r="L172" t="s">
        <v>411</v>
      </c>
      <c r="M172" t="s">
        <v>11</v>
      </c>
      <c r="N172" t="s">
        <v>43</v>
      </c>
      <c r="O172" t="s">
        <v>42</v>
      </c>
      <c r="P172" t="s">
        <v>8</v>
      </c>
      <c r="Q172" t="s">
        <v>124</v>
      </c>
      <c r="R172" t="s">
        <v>7</v>
      </c>
      <c r="U172" s="2">
        <v>46000</v>
      </c>
      <c r="V172" s="2">
        <v>45995</v>
      </c>
      <c r="W172" s="1">
        <v>17743.46</v>
      </c>
      <c r="X172"/>
      <c r="Y172" t="s">
        <v>6</v>
      </c>
      <c r="Z172" t="s">
        <v>5</v>
      </c>
      <c r="AA172">
        <v>46357</v>
      </c>
      <c r="AB172" t="s">
        <v>410</v>
      </c>
      <c r="AC172">
        <v>17743.46</v>
      </c>
      <c r="AD172">
        <v>0</v>
      </c>
      <c r="AE172">
        <v>0</v>
      </c>
      <c r="AF172">
        <v>17743.46</v>
      </c>
      <c r="AG172">
        <v>0</v>
      </c>
      <c r="AH172">
        <v>0</v>
      </c>
      <c r="AI172" t="s">
        <v>40</v>
      </c>
      <c r="AK172">
        <v>0</v>
      </c>
      <c r="AL172" t="s">
        <v>40</v>
      </c>
      <c r="AN172" t="s">
        <v>39</v>
      </c>
      <c r="AO172" t="s">
        <v>38</v>
      </c>
      <c r="AP172">
        <v>8871.73</v>
      </c>
      <c r="AS172" s="1">
        <v>15980.32</v>
      </c>
      <c r="AT172" s="3">
        <v>46022</v>
      </c>
      <c r="AX172" t="s">
        <v>2</v>
      </c>
      <c r="AY172" s="1">
        <v>7990.16</v>
      </c>
      <c r="AZ172" s="1">
        <v>7990.16</v>
      </c>
      <c r="BA172" s="1" t="s">
        <v>0</v>
      </c>
      <c r="BB172" t="s">
        <v>1</v>
      </c>
      <c r="BC172" t="s">
        <v>0</v>
      </c>
    </row>
    <row r="173" spans="1:55" x14ac:dyDescent="0.35">
      <c r="A173" t="s">
        <v>409</v>
      </c>
      <c r="B173">
        <v>75203</v>
      </c>
      <c r="C173" t="s">
        <v>408</v>
      </c>
      <c r="D173" t="s">
        <v>20</v>
      </c>
      <c r="E173" t="s">
        <v>47</v>
      </c>
      <c r="F173" t="s">
        <v>77</v>
      </c>
      <c r="G173" t="s">
        <v>17</v>
      </c>
      <c r="H173" t="s">
        <v>16</v>
      </c>
      <c r="I173" t="s">
        <v>15</v>
      </c>
      <c r="J173" t="s">
        <v>390</v>
      </c>
      <c r="K173" t="s">
        <v>33</v>
      </c>
      <c r="L173" t="s">
        <v>407</v>
      </c>
      <c r="M173" t="s">
        <v>11</v>
      </c>
      <c r="N173" t="s">
        <v>43</v>
      </c>
      <c r="O173" t="s">
        <v>42</v>
      </c>
      <c r="P173" t="s">
        <v>8</v>
      </c>
      <c r="Q173" t="s">
        <v>124</v>
      </c>
      <c r="R173" t="s">
        <v>7</v>
      </c>
      <c r="U173" s="2">
        <v>46000</v>
      </c>
      <c r="V173" s="2">
        <v>45995</v>
      </c>
      <c r="W173" s="1">
        <v>17743.46</v>
      </c>
      <c r="X173"/>
      <c r="Y173" t="s">
        <v>6</v>
      </c>
      <c r="Z173" t="s">
        <v>5</v>
      </c>
      <c r="AC173">
        <v>17743.46</v>
      </c>
      <c r="AD173">
        <v>0</v>
      </c>
      <c r="AE173">
        <v>0</v>
      </c>
      <c r="AF173">
        <v>17743.46</v>
      </c>
      <c r="AG173">
        <v>0</v>
      </c>
      <c r="AH173">
        <v>0</v>
      </c>
      <c r="AI173" t="s">
        <v>40</v>
      </c>
      <c r="AK173">
        <v>0</v>
      </c>
      <c r="AL173" t="s">
        <v>40</v>
      </c>
      <c r="AN173" t="s">
        <v>39</v>
      </c>
      <c r="AO173" t="s">
        <v>38</v>
      </c>
      <c r="AP173">
        <v>8871.73</v>
      </c>
      <c r="AS173" s="1">
        <v>15980.32</v>
      </c>
      <c r="AT173" s="3">
        <v>46022</v>
      </c>
      <c r="AX173" t="s">
        <v>2</v>
      </c>
      <c r="AY173" s="1">
        <v>7990.16</v>
      </c>
      <c r="AZ173" s="1">
        <v>7990.16</v>
      </c>
      <c r="BA173" s="1" t="s">
        <v>0</v>
      </c>
      <c r="BB173" t="s">
        <v>1</v>
      </c>
      <c r="BC173" t="s">
        <v>0</v>
      </c>
    </row>
    <row r="174" spans="1:55" x14ac:dyDescent="0.35">
      <c r="A174" t="s">
        <v>406</v>
      </c>
      <c r="B174">
        <v>6338</v>
      </c>
      <c r="C174" t="s">
        <v>405</v>
      </c>
      <c r="D174" t="s">
        <v>20</v>
      </c>
      <c r="E174" t="s">
        <v>47</v>
      </c>
      <c r="F174" t="s">
        <v>77</v>
      </c>
      <c r="G174" t="s">
        <v>17</v>
      </c>
      <c r="H174" t="s">
        <v>16</v>
      </c>
      <c r="I174" t="s">
        <v>15</v>
      </c>
      <c r="J174" t="s">
        <v>390</v>
      </c>
      <c r="K174" t="s">
        <v>33</v>
      </c>
      <c r="L174" t="s">
        <v>404</v>
      </c>
      <c r="M174" t="s">
        <v>11</v>
      </c>
      <c r="N174" t="s">
        <v>43</v>
      </c>
      <c r="O174" t="s">
        <v>42</v>
      </c>
      <c r="P174" t="s">
        <v>8</v>
      </c>
      <c r="Q174" t="s">
        <v>124</v>
      </c>
      <c r="R174" t="s">
        <v>7</v>
      </c>
      <c r="U174" s="2">
        <v>46000</v>
      </c>
      <c r="V174" s="2">
        <v>45995</v>
      </c>
      <c r="W174" s="1">
        <v>18432.84</v>
      </c>
      <c r="X174"/>
      <c r="Y174" t="s">
        <v>6</v>
      </c>
      <c r="Z174" t="s">
        <v>5</v>
      </c>
      <c r="AA174">
        <v>46357</v>
      </c>
      <c r="AB174" t="s">
        <v>403</v>
      </c>
      <c r="AC174">
        <v>18432.84</v>
      </c>
      <c r="AD174">
        <v>0</v>
      </c>
      <c r="AE174">
        <v>0</v>
      </c>
      <c r="AF174">
        <v>18432.84</v>
      </c>
      <c r="AG174">
        <v>0</v>
      </c>
      <c r="AH174">
        <v>0</v>
      </c>
      <c r="AI174" t="s">
        <v>40</v>
      </c>
      <c r="AK174">
        <v>0</v>
      </c>
      <c r="AL174" t="s">
        <v>40</v>
      </c>
      <c r="AN174" t="s">
        <v>39</v>
      </c>
      <c r="AO174" t="s">
        <v>38</v>
      </c>
      <c r="AP174">
        <v>9216.42</v>
      </c>
      <c r="AS174" s="1">
        <v>453593.91</v>
      </c>
      <c r="AT174" s="3">
        <v>46022</v>
      </c>
      <c r="AX174" t="s">
        <v>2</v>
      </c>
      <c r="AY174" s="1">
        <v>8255.5</v>
      </c>
      <c r="AZ174" s="1">
        <v>7940.53</v>
      </c>
      <c r="BA174" s="1">
        <v>7940.53</v>
      </c>
      <c r="BB174" t="s">
        <v>1</v>
      </c>
      <c r="BC174" t="b">
        <f>AZ174=BA174</f>
        <v>1</v>
      </c>
    </row>
    <row r="175" spans="1:55" x14ac:dyDescent="0.35">
      <c r="A175" t="s">
        <v>402</v>
      </c>
      <c r="B175">
        <v>65984</v>
      </c>
      <c r="C175" t="s">
        <v>401</v>
      </c>
      <c r="D175" t="s">
        <v>20</v>
      </c>
      <c r="E175" t="s">
        <v>47</v>
      </c>
      <c r="F175" t="s">
        <v>77</v>
      </c>
      <c r="G175" t="s">
        <v>17</v>
      </c>
      <c r="H175" t="s">
        <v>16</v>
      </c>
      <c r="I175" t="s">
        <v>15</v>
      </c>
      <c r="K175" t="s">
        <v>33</v>
      </c>
      <c r="L175" t="s">
        <v>400</v>
      </c>
      <c r="M175" t="s">
        <v>11</v>
      </c>
      <c r="N175" t="s">
        <v>43</v>
      </c>
      <c r="O175" t="s">
        <v>42</v>
      </c>
      <c r="P175" t="s">
        <v>8</v>
      </c>
      <c r="Q175" t="s">
        <v>124</v>
      </c>
      <c r="R175" t="s">
        <v>7</v>
      </c>
      <c r="U175" s="2">
        <v>46000</v>
      </c>
      <c r="V175" s="2">
        <v>45995</v>
      </c>
      <c r="W175" s="1">
        <v>15980.32</v>
      </c>
      <c r="X175"/>
      <c r="Y175" t="s">
        <v>6</v>
      </c>
      <c r="Z175" t="s">
        <v>5</v>
      </c>
      <c r="AA175">
        <v>46357</v>
      </c>
      <c r="AB175" t="s">
        <v>393</v>
      </c>
      <c r="AC175">
        <v>15980.32</v>
      </c>
      <c r="AD175">
        <v>0</v>
      </c>
      <c r="AE175">
        <v>0</v>
      </c>
      <c r="AF175">
        <v>15980.32</v>
      </c>
      <c r="AG175">
        <v>0</v>
      </c>
      <c r="AH175">
        <v>0</v>
      </c>
      <c r="AI175" t="s">
        <v>40</v>
      </c>
      <c r="AK175">
        <v>0</v>
      </c>
      <c r="AL175" t="s">
        <v>40</v>
      </c>
      <c r="AN175" t="s">
        <v>39</v>
      </c>
      <c r="AO175" t="s">
        <v>38</v>
      </c>
      <c r="AP175">
        <v>7990.16</v>
      </c>
      <c r="AS175" s="1">
        <v>15987.64</v>
      </c>
      <c r="AT175" s="3">
        <v>46022</v>
      </c>
      <c r="AX175" t="s">
        <v>2</v>
      </c>
      <c r="AY175" s="1">
        <v>7977.31</v>
      </c>
      <c r="AZ175" s="1">
        <v>7628.68</v>
      </c>
      <c r="BA175" s="1">
        <v>7628.68</v>
      </c>
      <c r="BB175" t="s">
        <v>1</v>
      </c>
      <c r="BC175" t="b">
        <f>AZ175=BA175</f>
        <v>1</v>
      </c>
    </row>
    <row r="176" spans="1:55" x14ac:dyDescent="0.35">
      <c r="A176" t="s">
        <v>399</v>
      </c>
      <c r="B176">
        <v>75199</v>
      </c>
      <c r="C176" t="s">
        <v>398</v>
      </c>
      <c r="D176" t="s">
        <v>20</v>
      </c>
      <c r="E176" t="s">
        <v>47</v>
      </c>
      <c r="F176" t="s">
        <v>77</v>
      </c>
      <c r="G176" t="s">
        <v>17</v>
      </c>
      <c r="H176" t="s">
        <v>16</v>
      </c>
      <c r="I176" t="s">
        <v>15</v>
      </c>
      <c r="K176" t="s">
        <v>33</v>
      </c>
      <c r="L176" t="s">
        <v>397</v>
      </c>
      <c r="M176" t="s">
        <v>11</v>
      </c>
      <c r="N176" t="s">
        <v>43</v>
      </c>
      <c r="O176" t="s">
        <v>42</v>
      </c>
      <c r="P176" t="s">
        <v>8</v>
      </c>
      <c r="Q176" t="s">
        <v>124</v>
      </c>
      <c r="R176" t="s">
        <v>7</v>
      </c>
      <c r="U176" s="2">
        <v>46000</v>
      </c>
      <c r="V176" s="2">
        <v>45995</v>
      </c>
      <c r="W176" s="1">
        <v>15980.32</v>
      </c>
      <c r="X176"/>
      <c r="Y176" t="s">
        <v>6</v>
      </c>
      <c r="Z176" t="s">
        <v>5</v>
      </c>
      <c r="AA176">
        <v>46357</v>
      </c>
      <c r="AB176" t="s">
        <v>393</v>
      </c>
      <c r="AC176">
        <v>15980.32</v>
      </c>
      <c r="AD176">
        <v>0</v>
      </c>
      <c r="AE176">
        <v>0</v>
      </c>
      <c r="AF176">
        <v>15980.32</v>
      </c>
      <c r="AG176">
        <v>0</v>
      </c>
      <c r="AH176">
        <v>0</v>
      </c>
      <c r="AI176" t="s">
        <v>40</v>
      </c>
      <c r="AK176">
        <v>0</v>
      </c>
      <c r="AL176" t="s">
        <v>40</v>
      </c>
      <c r="AN176" t="s">
        <v>39</v>
      </c>
      <c r="AO176" t="s">
        <v>38</v>
      </c>
      <c r="AP176">
        <v>7990.16</v>
      </c>
      <c r="AS176" s="1">
        <v>14493.28</v>
      </c>
      <c r="AT176" s="3">
        <v>46022</v>
      </c>
      <c r="AX176" t="s">
        <v>2</v>
      </c>
      <c r="AY176" s="1">
        <v>7246.64</v>
      </c>
      <c r="AZ176" s="1">
        <v>7246.64</v>
      </c>
      <c r="BA176" s="1" t="s">
        <v>0</v>
      </c>
      <c r="BB176" t="s">
        <v>1</v>
      </c>
      <c r="BC176" t="s">
        <v>0</v>
      </c>
    </row>
    <row r="177" spans="1:55" x14ac:dyDescent="0.35">
      <c r="A177" t="s">
        <v>396</v>
      </c>
      <c r="B177">
        <v>37221</v>
      </c>
      <c r="C177" t="s">
        <v>395</v>
      </c>
      <c r="D177" t="s">
        <v>20</v>
      </c>
      <c r="E177" t="s">
        <v>47</v>
      </c>
      <c r="F177" t="s">
        <v>77</v>
      </c>
      <c r="G177" t="s">
        <v>17</v>
      </c>
      <c r="H177" t="s">
        <v>16</v>
      </c>
      <c r="I177" t="s">
        <v>15</v>
      </c>
      <c r="K177" t="s">
        <v>33</v>
      </c>
      <c r="L177" t="s">
        <v>394</v>
      </c>
      <c r="M177" t="s">
        <v>11</v>
      </c>
      <c r="N177" t="s">
        <v>43</v>
      </c>
      <c r="O177" t="s">
        <v>42</v>
      </c>
      <c r="P177" t="s">
        <v>8</v>
      </c>
      <c r="Q177" t="s">
        <v>124</v>
      </c>
      <c r="R177" t="s">
        <v>7</v>
      </c>
      <c r="U177" s="2">
        <v>46000</v>
      </c>
      <c r="V177" s="2">
        <v>45995</v>
      </c>
      <c r="W177" s="1">
        <v>15980.32</v>
      </c>
      <c r="X177"/>
      <c r="Y177" t="s">
        <v>6</v>
      </c>
      <c r="Z177" t="s">
        <v>5</v>
      </c>
      <c r="AA177">
        <v>46357</v>
      </c>
      <c r="AB177" t="s">
        <v>393</v>
      </c>
      <c r="AC177">
        <v>15980.32</v>
      </c>
      <c r="AD177">
        <v>0</v>
      </c>
      <c r="AE177">
        <v>0</v>
      </c>
      <c r="AF177">
        <v>15980.32</v>
      </c>
      <c r="AG177">
        <v>0</v>
      </c>
      <c r="AH177">
        <v>0</v>
      </c>
      <c r="AI177" t="s">
        <v>40</v>
      </c>
      <c r="AK177">
        <v>0</v>
      </c>
      <c r="AL177" t="s">
        <v>40</v>
      </c>
      <c r="AN177" t="s">
        <v>39</v>
      </c>
      <c r="AO177" t="s">
        <v>38</v>
      </c>
      <c r="AP177">
        <v>7990.16</v>
      </c>
      <c r="AS177" s="1">
        <v>16436.849999999999</v>
      </c>
      <c r="AT177" s="3">
        <v>46022</v>
      </c>
      <c r="AX177" t="s">
        <v>2</v>
      </c>
      <c r="AY177" s="1">
        <v>7340.76</v>
      </c>
      <c r="AZ177" s="1">
        <v>7019.95</v>
      </c>
      <c r="BA177" s="1">
        <v>7019.95</v>
      </c>
      <c r="BB177" t="s">
        <v>1</v>
      </c>
      <c r="BC177" t="b">
        <f>AZ177=BA177</f>
        <v>1</v>
      </c>
    </row>
    <row r="178" spans="1:55" x14ac:dyDescent="0.35">
      <c r="A178" t="s">
        <v>392</v>
      </c>
      <c r="B178">
        <v>75197</v>
      </c>
      <c r="C178" t="s">
        <v>391</v>
      </c>
      <c r="D178" t="s">
        <v>20</v>
      </c>
      <c r="E178" t="s">
        <v>47</v>
      </c>
      <c r="F178" t="s">
        <v>77</v>
      </c>
      <c r="G178" t="s">
        <v>17</v>
      </c>
      <c r="H178" t="s">
        <v>16</v>
      </c>
      <c r="I178" t="s">
        <v>15</v>
      </c>
      <c r="J178" t="s">
        <v>390</v>
      </c>
      <c r="K178" t="s">
        <v>33</v>
      </c>
      <c r="L178" t="s">
        <v>389</v>
      </c>
      <c r="M178" t="s">
        <v>11</v>
      </c>
      <c r="N178" t="s">
        <v>43</v>
      </c>
      <c r="O178" t="s">
        <v>42</v>
      </c>
      <c r="P178" t="s">
        <v>8</v>
      </c>
      <c r="Q178" t="s">
        <v>124</v>
      </c>
      <c r="R178" t="s">
        <v>7</v>
      </c>
      <c r="U178" s="2">
        <v>46000</v>
      </c>
      <c r="V178" s="2">
        <v>45995</v>
      </c>
      <c r="W178" s="1">
        <v>15280</v>
      </c>
      <c r="X178"/>
      <c r="Y178" t="s">
        <v>6</v>
      </c>
      <c r="Z178" t="s">
        <v>5</v>
      </c>
      <c r="AA178">
        <v>46357</v>
      </c>
      <c r="AB178" t="s">
        <v>388</v>
      </c>
      <c r="AC178">
        <v>15280</v>
      </c>
      <c r="AD178">
        <v>0</v>
      </c>
      <c r="AE178">
        <v>0</v>
      </c>
      <c r="AF178">
        <v>15280</v>
      </c>
      <c r="AG178">
        <v>0</v>
      </c>
      <c r="AH178">
        <v>0</v>
      </c>
      <c r="AI178" t="s">
        <v>40</v>
      </c>
      <c r="AK178">
        <v>0</v>
      </c>
      <c r="AL178" t="s">
        <v>40</v>
      </c>
      <c r="AN178" t="s">
        <v>39</v>
      </c>
      <c r="AO178" t="s">
        <v>38</v>
      </c>
      <c r="AP178">
        <v>7640</v>
      </c>
      <c r="AS178" s="1">
        <v>10710.06</v>
      </c>
      <c r="AT178" s="3">
        <v>46022</v>
      </c>
      <c r="AX178" t="s">
        <v>2</v>
      </c>
      <c r="AY178" s="1">
        <v>5355.03</v>
      </c>
      <c r="AZ178" s="1">
        <v>5355.03</v>
      </c>
      <c r="BA178" s="1" t="s">
        <v>0</v>
      </c>
      <c r="BB178" t="s">
        <v>1</v>
      </c>
      <c r="BC178" t="s">
        <v>0</v>
      </c>
    </row>
    <row r="179" spans="1:55" x14ac:dyDescent="0.35">
      <c r="A179" t="s">
        <v>387</v>
      </c>
      <c r="B179">
        <v>75160</v>
      </c>
      <c r="C179" t="s">
        <v>386</v>
      </c>
      <c r="D179" t="s">
        <v>20</v>
      </c>
      <c r="E179" t="s">
        <v>47</v>
      </c>
      <c r="F179" t="s">
        <v>77</v>
      </c>
      <c r="G179" t="s">
        <v>17</v>
      </c>
      <c r="H179" t="s">
        <v>16</v>
      </c>
      <c r="I179" t="s">
        <v>15</v>
      </c>
      <c r="J179" t="s">
        <v>385</v>
      </c>
      <c r="K179" t="s">
        <v>33</v>
      </c>
      <c r="L179" t="s">
        <v>384</v>
      </c>
      <c r="M179" t="s">
        <v>11</v>
      </c>
      <c r="N179" t="s">
        <v>43</v>
      </c>
      <c r="O179" t="s">
        <v>42</v>
      </c>
      <c r="P179" t="s">
        <v>8</v>
      </c>
      <c r="Q179" t="s">
        <v>124</v>
      </c>
      <c r="R179" t="s">
        <v>7</v>
      </c>
      <c r="U179" s="2">
        <v>46000</v>
      </c>
      <c r="V179" s="2">
        <v>45994</v>
      </c>
      <c r="W179" s="1">
        <v>14493.28</v>
      </c>
      <c r="X179"/>
      <c r="Y179" t="s">
        <v>6</v>
      </c>
      <c r="Z179" t="s">
        <v>5</v>
      </c>
      <c r="AA179">
        <v>46357</v>
      </c>
      <c r="AB179" t="s">
        <v>383</v>
      </c>
      <c r="AC179">
        <v>14493.28</v>
      </c>
      <c r="AD179">
        <v>0</v>
      </c>
      <c r="AE179">
        <v>0</v>
      </c>
      <c r="AF179">
        <v>14493.28</v>
      </c>
      <c r="AG179">
        <v>0</v>
      </c>
      <c r="AH179">
        <v>0</v>
      </c>
      <c r="AI179" t="s">
        <v>40</v>
      </c>
      <c r="AK179">
        <v>0</v>
      </c>
      <c r="AL179" t="s">
        <v>40</v>
      </c>
      <c r="AN179" t="s">
        <v>39</v>
      </c>
      <c r="AO179" t="s">
        <v>38</v>
      </c>
      <c r="AP179">
        <v>7246.64</v>
      </c>
      <c r="AS179" s="1">
        <v>9657.86</v>
      </c>
      <c r="AT179" s="3">
        <v>46022</v>
      </c>
      <c r="AX179" t="s">
        <v>2</v>
      </c>
      <c r="AY179" s="1">
        <v>4884.54</v>
      </c>
      <c r="AZ179" s="1">
        <v>4773.32</v>
      </c>
      <c r="BA179" s="1" t="s">
        <v>0</v>
      </c>
      <c r="BB179" t="s">
        <v>1</v>
      </c>
      <c r="BC179" t="s">
        <v>0</v>
      </c>
    </row>
    <row r="180" spans="1:55" x14ac:dyDescent="0.35">
      <c r="A180" t="s">
        <v>382</v>
      </c>
      <c r="B180">
        <v>26204</v>
      </c>
      <c r="C180" t="s">
        <v>381</v>
      </c>
      <c r="D180" t="s">
        <v>20</v>
      </c>
      <c r="E180" t="s">
        <v>47</v>
      </c>
      <c r="F180" t="s">
        <v>77</v>
      </c>
      <c r="G180" t="s">
        <v>17</v>
      </c>
      <c r="H180" t="s">
        <v>16</v>
      </c>
      <c r="I180" t="s">
        <v>15</v>
      </c>
      <c r="J180" t="s">
        <v>380</v>
      </c>
      <c r="K180" t="s">
        <v>33</v>
      </c>
      <c r="L180" t="s">
        <v>379</v>
      </c>
      <c r="M180" t="s">
        <v>11</v>
      </c>
      <c r="N180" t="s">
        <v>43</v>
      </c>
      <c r="O180" t="s">
        <v>42</v>
      </c>
      <c r="P180" t="s">
        <v>8</v>
      </c>
      <c r="Q180" t="s">
        <v>124</v>
      </c>
      <c r="R180" t="s">
        <v>7</v>
      </c>
      <c r="U180" s="2">
        <v>46000</v>
      </c>
      <c r="V180" s="2">
        <v>45994</v>
      </c>
      <c r="W180" s="1">
        <v>10710.06</v>
      </c>
      <c r="X180"/>
      <c r="Y180" t="s">
        <v>6</v>
      </c>
      <c r="Z180" t="s">
        <v>5</v>
      </c>
      <c r="AA180">
        <v>46357</v>
      </c>
      <c r="AB180" t="s">
        <v>378</v>
      </c>
      <c r="AC180">
        <v>10710.06</v>
      </c>
      <c r="AD180">
        <v>0</v>
      </c>
      <c r="AE180">
        <v>0</v>
      </c>
      <c r="AF180">
        <v>10710.06</v>
      </c>
      <c r="AG180">
        <v>0</v>
      </c>
      <c r="AH180">
        <v>0</v>
      </c>
      <c r="AI180" t="s">
        <v>40</v>
      </c>
      <c r="AK180">
        <v>0</v>
      </c>
      <c r="AL180" t="s">
        <v>40</v>
      </c>
      <c r="AN180" t="s">
        <v>39</v>
      </c>
      <c r="AO180" t="s">
        <v>38</v>
      </c>
      <c r="AP180">
        <v>5355.03</v>
      </c>
      <c r="AS180" s="1">
        <v>10511.81</v>
      </c>
      <c r="AT180" s="3">
        <v>46022</v>
      </c>
      <c r="AX180" t="s">
        <v>2</v>
      </c>
      <c r="AY180" s="1">
        <v>4694.6099999999997</v>
      </c>
      <c r="AZ180" s="1">
        <v>4489.45</v>
      </c>
      <c r="BA180" s="1">
        <v>4489.45</v>
      </c>
      <c r="BB180" t="s">
        <v>1</v>
      </c>
      <c r="BC180" t="b">
        <f>AZ180=BA180</f>
        <v>1</v>
      </c>
    </row>
    <row r="181" spans="1:55" x14ac:dyDescent="0.35">
      <c r="A181" t="s">
        <v>377</v>
      </c>
      <c r="B181">
        <v>75165</v>
      </c>
      <c r="C181" t="s">
        <v>376</v>
      </c>
      <c r="D181" t="s">
        <v>20</v>
      </c>
      <c r="E181" t="s">
        <v>47</v>
      </c>
      <c r="F181" t="s">
        <v>77</v>
      </c>
      <c r="G181" t="s">
        <v>17</v>
      </c>
      <c r="H181" t="s">
        <v>16</v>
      </c>
      <c r="I181" t="s">
        <v>15</v>
      </c>
      <c r="J181" t="s">
        <v>367</v>
      </c>
      <c r="K181" t="s">
        <v>33</v>
      </c>
      <c r="L181" t="s">
        <v>375</v>
      </c>
      <c r="M181" t="s">
        <v>11</v>
      </c>
      <c r="N181" t="s">
        <v>43</v>
      </c>
      <c r="O181" t="s">
        <v>42</v>
      </c>
      <c r="P181" t="s">
        <v>8</v>
      </c>
      <c r="Q181" t="s">
        <v>124</v>
      </c>
      <c r="R181" t="s">
        <v>7</v>
      </c>
      <c r="U181" s="2">
        <v>46000</v>
      </c>
      <c r="V181" s="2">
        <v>45993</v>
      </c>
      <c r="W181" s="1">
        <v>9998.7999999999993</v>
      </c>
      <c r="X181"/>
      <c r="Y181" t="s">
        <v>6</v>
      </c>
      <c r="Z181" t="s">
        <v>5</v>
      </c>
      <c r="AA181">
        <v>46357</v>
      </c>
      <c r="AB181" t="s">
        <v>374</v>
      </c>
      <c r="AC181">
        <v>9998.7999999999993</v>
      </c>
      <c r="AD181">
        <v>0</v>
      </c>
      <c r="AE181">
        <v>0</v>
      </c>
      <c r="AF181">
        <v>9998.7999999999993</v>
      </c>
      <c r="AG181">
        <v>0</v>
      </c>
      <c r="AH181">
        <v>0</v>
      </c>
      <c r="AI181" t="s">
        <v>40</v>
      </c>
      <c r="AK181">
        <v>0</v>
      </c>
      <c r="AL181" t="s">
        <v>40</v>
      </c>
      <c r="AN181" t="s">
        <v>39</v>
      </c>
      <c r="AO181" t="s">
        <v>38</v>
      </c>
      <c r="AP181">
        <v>4999.3999999999996</v>
      </c>
      <c r="AS181" s="1">
        <v>8785.16</v>
      </c>
      <c r="AT181" s="3">
        <v>46022</v>
      </c>
      <c r="AX181" t="s">
        <v>2</v>
      </c>
      <c r="AY181" s="1">
        <v>4463.8599999999997</v>
      </c>
      <c r="AZ181" s="1">
        <v>4268.78</v>
      </c>
      <c r="BA181" s="1" t="s">
        <v>0</v>
      </c>
      <c r="BB181" t="s">
        <v>1</v>
      </c>
      <c r="BC181" t="s">
        <v>0</v>
      </c>
    </row>
    <row r="182" spans="1:55" x14ac:dyDescent="0.35">
      <c r="A182" t="s">
        <v>373</v>
      </c>
      <c r="B182">
        <v>66355</v>
      </c>
      <c r="C182" t="s">
        <v>372</v>
      </c>
      <c r="D182" t="s">
        <v>20</v>
      </c>
      <c r="E182" t="s">
        <v>47</v>
      </c>
      <c r="F182" t="s">
        <v>77</v>
      </c>
      <c r="G182" t="s">
        <v>17</v>
      </c>
      <c r="H182" t="s">
        <v>16</v>
      </c>
      <c r="I182" t="s">
        <v>15</v>
      </c>
      <c r="K182" t="s">
        <v>33</v>
      </c>
      <c r="L182" t="s">
        <v>371</v>
      </c>
      <c r="M182" t="s">
        <v>11</v>
      </c>
      <c r="N182" t="s">
        <v>43</v>
      </c>
      <c r="O182" t="s">
        <v>42</v>
      </c>
      <c r="P182" t="s">
        <v>8</v>
      </c>
      <c r="Q182" t="s">
        <v>124</v>
      </c>
      <c r="R182" t="s">
        <v>7</v>
      </c>
      <c r="U182" s="2">
        <v>46000</v>
      </c>
      <c r="V182" s="2">
        <v>45993</v>
      </c>
      <c r="W182" s="1">
        <v>9009.7999999999993</v>
      </c>
      <c r="X182"/>
      <c r="Y182" t="s">
        <v>6</v>
      </c>
      <c r="Z182" t="s">
        <v>5</v>
      </c>
      <c r="AA182">
        <v>46357</v>
      </c>
      <c r="AB182" t="s">
        <v>370</v>
      </c>
      <c r="AC182">
        <v>9009.7999999999993</v>
      </c>
      <c r="AD182">
        <v>0</v>
      </c>
      <c r="AE182">
        <v>0</v>
      </c>
      <c r="AF182">
        <v>9009.7999999999993</v>
      </c>
      <c r="AG182">
        <v>0</v>
      </c>
      <c r="AH182">
        <v>0</v>
      </c>
      <c r="AI182" t="s">
        <v>40</v>
      </c>
      <c r="AK182">
        <v>0</v>
      </c>
      <c r="AL182" t="s">
        <v>40</v>
      </c>
      <c r="AN182" t="s">
        <v>39</v>
      </c>
      <c r="AO182" t="s">
        <v>38</v>
      </c>
      <c r="AP182">
        <v>4504.8999999999996</v>
      </c>
      <c r="AS182" s="1">
        <v>11612.1</v>
      </c>
      <c r="AT182" s="3">
        <v>46022</v>
      </c>
      <c r="AX182" t="s">
        <v>2</v>
      </c>
      <c r="AY182" s="1">
        <v>3861.16</v>
      </c>
      <c r="AZ182" s="1">
        <v>3701.67</v>
      </c>
      <c r="BA182" s="1">
        <v>3701.67</v>
      </c>
      <c r="BB182" t="s">
        <v>1</v>
      </c>
      <c r="BC182" t="b">
        <f>AZ182=BA182</f>
        <v>1</v>
      </c>
    </row>
    <row r="183" spans="1:55" x14ac:dyDescent="0.35">
      <c r="A183" t="s">
        <v>369</v>
      </c>
      <c r="B183">
        <v>75173</v>
      </c>
      <c r="C183" t="s">
        <v>368</v>
      </c>
      <c r="D183" t="s">
        <v>20</v>
      </c>
      <c r="E183" t="s">
        <v>47</v>
      </c>
      <c r="F183" t="s">
        <v>77</v>
      </c>
      <c r="G183" t="s">
        <v>17</v>
      </c>
      <c r="H183" t="s">
        <v>16</v>
      </c>
      <c r="I183" t="s">
        <v>15</v>
      </c>
      <c r="J183" t="s">
        <v>367</v>
      </c>
      <c r="K183" t="s">
        <v>33</v>
      </c>
      <c r="L183" t="s">
        <v>366</v>
      </c>
      <c r="M183" t="s">
        <v>11</v>
      </c>
      <c r="N183" t="s">
        <v>43</v>
      </c>
      <c r="O183" t="s">
        <v>42</v>
      </c>
      <c r="P183" t="s">
        <v>8</v>
      </c>
      <c r="Q183" t="s">
        <v>124</v>
      </c>
      <c r="R183" t="s">
        <v>7</v>
      </c>
      <c r="U183" s="2">
        <v>46000</v>
      </c>
      <c r="V183" s="2">
        <v>45993</v>
      </c>
      <c r="W183" s="1">
        <v>8784.0400000000009</v>
      </c>
      <c r="X183"/>
      <c r="Y183" t="s">
        <v>6</v>
      </c>
      <c r="Z183" t="s">
        <v>5</v>
      </c>
      <c r="AA183">
        <v>46357</v>
      </c>
      <c r="AB183" t="s">
        <v>365</v>
      </c>
      <c r="AC183">
        <v>8784.0400000000009</v>
      </c>
      <c r="AD183">
        <v>0</v>
      </c>
      <c r="AE183">
        <v>0</v>
      </c>
      <c r="AF183">
        <v>8784.0400000000009</v>
      </c>
      <c r="AG183">
        <v>0</v>
      </c>
      <c r="AH183">
        <v>0</v>
      </c>
      <c r="AI183" t="s">
        <v>40</v>
      </c>
      <c r="AK183">
        <v>0</v>
      </c>
      <c r="AL183" t="s">
        <v>40</v>
      </c>
      <c r="AN183" t="s">
        <v>39</v>
      </c>
      <c r="AO183" t="s">
        <v>38</v>
      </c>
      <c r="AP183">
        <v>4392.0200000000004</v>
      </c>
      <c r="AS183" s="1">
        <v>7192.12</v>
      </c>
      <c r="AT183" s="3">
        <v>46022</v>
      </c>
      <c r="AX183" t="s">
        <v>2</v>
      </c>
      <c r="AY183" s="1">
        <v>3637.68</v>
      </c>
      <c r="AZ183" s="1">
        <v>3511.6</v>
      </c>
      <c r="BA183" s="1" t="s">
        <v>0</v>
      </c>
      <c r="BB183" t="s">
        <v>1</v>
      </c>
      <c r="BC183" t="s">
        <v>0</v>
      </c>
    </row>
    <row r="184" spans="1:55" x14ac:dyDescent="0.35">
      <c r="A184" t="s">
        <v>364</v>
      </c>
      <c r="B184">
        <v>66338</v>
      </c>
      <c r="C184" t="s">
        <v>363</v>
      </c>
      <c r="D184" t="s">
        <v>20</v>
      </c>
      <c r="E184" t="s">
        <v>47</v>
      </c>
      <c r="F184" t="s">
        <v>77</v>
      </c>
      <c r="G184" t="s">
        <v>17</v>
      </c>
      <c r="H184" t="s">
        <v>16</v>
      </c>
      <c r="I184" t="s">
        <v>15</v>
      </c>
      <c r="J184" t="s">
        <v>362</v>
      </c>
      <c r="K184" t="s">
        <v>33</v>
      </c>
      <c r="L184" t="s">
        <v>361</v>
      </c>
      <c r="M184" t="s">
        <v>11</v>
      </c>
      <c r="N184" t="s">
        <v>43</v>
      </c>
      <c r="O184" t="s">
        <v>42</v>
      </c>
      <c r="P184" t="s">
        <v>8</v>
      </c>
      <c r="Q184" t="s">
        <v>124</v>
      </c>
      <c r="R184" t="s">
        <v>7</v>
      </c>
      <c r="U184" s="2">
        <v>46000</v>
      </c>
      <c r="V184" s="2">
        <v>45993</v>
      </c>
      <c r="W184" s="1">
        <v>5900.98</v>
      </c>
      <c r="X184"/>
      <c r="Y184" t="s">
        <v>6</v>
      </c>
      <c r="Z184" t="s">
        <v>5</v>
      </c>
      <c r="AA184">
        <v>46357</v>
      </c>
      <c r="AB184" t="s">
        <v>360</v>
      </c>
      <c r="AC184">
        <v>5900.98</v>
      </c>
      <c r="AD184">
        <v>0</v>
      </c>
      <c r="AE184">
        <v>0</v>
      </c>
      <c r="AF184">
        <v>5900.98</v>
      </c>
      <c r="AG184">
        <v>0</v>
      </c>
      <c r="AH184">
        <v>0</v>
      </c>
      <c r="AI184" t="s">
        <v>40</v>
      </c>
      <c r="AK184">
        <v>0</v>
      </c>
      <c r="AL184" t="s">
        <v>40</v>
      </c>
      <c r="AN184" t="s">
        <v>39</v>
      </c>
      <c r="AO184" t="s">
        <v>38</v>
      </c>
      <c r="AP184">
        <v>2950.49</v>
      </c>
      <c r="AS184" s="1">
        <v>22527.5</v>
      </c>
      <c r="AT184" s="3">
        <v>46022</v>
      </c>
      <c r="AX184" t="s">
        <v>2</v>
      </c>
      <c r="AY184" s="1">
        <v>2763.12</v>
      </c>
      <c r="AZ184" s="1">
        <v>2648.99</v>
      </c>
      <c r="BA184" s="1">
        <v>2648.99</v>
      </c>
      <c r="BB184" t="s">
        <v>1</v>
      </c>
      <c r="BC184" t="b">
        <f>AZ184=BA184</f>
        <v>1</v>
      </c>
    </row>
    <row r="185" spans="1:55" x14ac:dyDescent="0.35">
      <c r="A185" t="s">
        <v>359</v>
      </c>
      <c r="B185">
        <v>53411</v>
      </c>
      <c r="C185" t="s">
        <v>358</v>
      </c>
      <c r="D185" t="s">
        <v>20</v>
      </c>
      <c r="E185" t="s">
        <v>47</v>
      </c>
      <c r="F185" t="s">
        <v>77</v>
      </c>
      <c r="G185" t="s">
        <v>17</v>
      </c>
      <c r="H185" t="s">
        <v>16</v>
      </c>
      <c r="I185" t="s">
        <v>15</v>
      </c>
      <c r="J185" t="s">
        <v>357</v>
      </c>
      <c r="K185" t="s">
        <v>33</v>
      </c>
      <c r="L185" t="s">
        <v>356</v>
      </c>
      <c r="M185" t="s">
        <v>11</v>
      </c>
      <c r="N185" t="s">
        <v>43</v>
      </c>
      <c r="O185" t="s">
        <v>42</v>
      </c>
      <c r="P185" t="s">
        <v>8</v>
      </c>
      <c r="Q185" t="s">
        <v>124</v>
      </c>
      <c r="R185" t="s">
        <v>7</v>
      </c>
      <c r="U185" s="2">
        <v>46000</v>
      </c>
      <c r="V185" s="2">
        <v>45992</v>
      </c>
      <c r="W185" s="1">
        <v>5824.28</v>
      </c>
      <c r="X185"/>
      <c r="Y185" t="s">
        <v>6</v>
      </c>
      <c r="Z185" t="s">
        <v>5</v>
      </c>
      <c r="AA185">
        <v>46357</v>
      </c>
      <c r="AB185" t="s">
        <v>355</v>
      </c>
      <c r="AC185">
        <v>5824.28</v>
      </c>
      <c r="AD185">
        <v>0</v>
      </c>
      <c r="AE185">
        <v>0</v>
      </c>
      <c r="AF185">
        <v>5824.28</v>
      </c>
      <c r="AG185">
        <v>0</v>
      </c>
      <c r="AH185">
        <v>0</v>
      </c>
      <c r="AI185" t="s">
        <v>40</v>
      </c>
      <c r="AK185">
        <v>0</v>
      </c>
      <c r="AL185" t="s">
        <v>40</v>
      </c>
      <c r="AN185" t="s">
        <v>39</v>
      </c>
      <c r="AO185" t="s">
        <v>38</v>
      </c>
      <c r="AP185">
        <v>2912.14</v>
      </c>
      <c r="AS185" s="1">
        <v>57565.2</v>
      </c>
      <c r="AT185" s="3">
        <v>46022</v>
      </c>
      <c r="AX185" t="s">
        <v>2</v>
      </c>
      <c r="AY185" s="1">
        <v>2520.36</v>
      </c>
      <c r="AZ185" s="1">
        <v>2410.21</v>
      </c>
      <c r="BA185" s="1">
        <v>2410.21</v>
      </c>
      <c r="BB185" t="s">
        <v>1</v>
      </c>
      <c r="BC185" t="b">
        <f>AZ185=BA185</f>
        <v>1</v>
      </c>
    </row>
    <row r="186" spans="1:55" x14ac:dyDescent="0.35">
      <c r="A186" t="s">
        <v>354</v>
      </c>
      <c r="B186">
        <v>25856</v>
      </c>
      <c r="C186" t="s">
        <v>353</v>
      </c>
      <c r="D186" t="s">
        <v>20</v>
      </c>
      <c r="E186" t="s">
        <v>47</v>
      </c>
      <c r="F186" t="s">
        <v>77</v>
      </c>
      <c r="G186" t="s">
        <v>17</v>
      </c>
      <c r="H186" t="s">
        <v>16</v>
      </c>
      <c r="I186" t="s">
        <v>15</v>
      </c>
      <c r="J186" t="s">
        <v>352</v>
      </c>
      <c r="K186" t="s">
        <v>33</v>
      </c>
      <c r="L186" t="s">
        <v>351</v>
      </c>
      <c r="M186" t="s">
        <v>11</v>
      </c>
      <c r="N186" t="s">
        <v>43</v>
      </c>
      <c r="O186" t="s">
        <v>42</v>
      </c>
      <c r="P186" t="s">
        <v>8</v>
      </c>
      <c r="Q186" t="s">
        <v>124</v>
      </c>
      <c r="R186" t="s">
        <v>7</v>
      </c>
      <c r="U186" s="2">
        <v>46000</v>
      </c>
      <c r="V186" s="2">
        <v>45992</v>
      </c>
      <c r="W186" s="1">
        <v>5521.9</v>
      </c>
      <c r="X186"/>
      <c r="Y186" t="s">
        <v>6</v>
      </c>
      <c r="Z186" t="s">
        <v>5</v>
      </c>
      <c r="AA186">
        <v>46357</v>
      </c>
      <c r="AB186" t="s">
        <v>350</v>
      </c>
      <c r="AC186">
        <v>5521.9</v>
      </c>
      <c r="AD186">
        <v>0</v>
      </c>
      <c r="AE186">
        <v>0</v>
      </c>
      <c r="AF186">
        <v>5521.9</v>
      </c>
      <c r="AG186">
        <v>0</v>
      </c>
      <c r="AH186">
        <v>0</v>
      </c>
      <c r="AI186" t="s">
        <v>40</v>
      </c>
      <c r="AK186">
        <v>0</v>
      </c>
      <c r="AL186" t="s">
        <v>40</v>
      </c>
      <c r="AN186" t="s">
        <v>39</v>
      </c>
      <c r="AO186" t="s">
        <v>38</v>
      </c>
      <c r="AP186">
        <v>2760.95</v>
      </c>
      <c r="AS186" s="1">
        <v>5635.01</v>
      </c>
      <c r="AT186" s="3">
        <v>46022</v>
      </c>
      <c r="AX186" t="s">
        <v>2</v>
      </c>
      <c r="AY186" s="1">
        <v>2486.9499999999998</v>
      </c>
      <c r="AZ186" s="1">
        <v>2385.62</v>
      </c>
      <c r="BA186" s="1">
        <v>2385.62</v>
      </c>
      <c r="BB186" t="s">
        <v>1</v>
      </c>
      <c r="BC186" t="b">
        <f>AZ186=BA186</f>
        <v>1</v>
      </c>
    </row>
    <row r="187" spans="1:55" x14ac:dyDescent="0.35">
      <c r="A187" t="s">
        <v>349</v>
      </c>
      <c r="B187">
        <v>75196</v>
      </c>
      <c r="C187" t="s">
        <v>348</v>
      </c>
      <c r="D187" t="s">
        <v>20</v>
      </c>
      <c r="E187" t="s">
        <v>347</v>
      </c>
      <c r="F187" t="s">
        <v>18</v>
      </c>
      <c r="G187" t="s">
        <v>17</v>
      </c>
      <c r="H187" t="s">
        <v>16</v>
      </c>
      <c r="I187" t="s">
        <v>15</v>
      </c>
      <c r="J187" t="s">
        <v>346</v>
      </c>
      <c r="K187" t="s">
        <v>13</v>
      </c>
      <c r="L187" t="s">
        <v>345</v>
      </c>
      <c r="M187" t="s">
        <v>11</v>
      </c>
      <c r="N187" t="s">
        <v>344</v>
      </c>
      <c r="O187" t="s">
        <v>9</v>
      </c>
      <c r="P187" t="s">
        <v>8</v>
      </c>
      <c r="Q187" t="s">
        <v>8</v>
      </c>
      <c r="R187" t="s">
        <v>7</v>
      </c>
      <c r="U187" s="2">
        <v>46001</v>
      </c>
      <c r="V187" s="2">
        <v>45624</v>
      </c>
      <c r="W187" s="1">
        <v>20113.16</v>
      </c>
      <c r="X187"/>
      <c r="Y187" t="s">
        <v>6</v>
      </c>
      <c r="Z187" t="s">
        <v>5</v>
      </c>
      <c r="AB187" t="s">
        <v>343</v>
      </c>
      <c r="AC187">
        <v>20113.16</v>
      </c>
      <c r="AD187">
        <v>0</v>
      </c>
      <c r="AE187">
        <v>0</v>
      </c>
      <c r="AF187">
        <v>20347.48</v>
      </c>
      <c r="AG187">
        <v>0</v>
      </c>
      <c r="AH187">
        <v>0</v>
      </c>
      <c r="AI187" t="s">
        <v>342</v>
      </c>
      <c r="AK187">
        <v>0</v>
      </c>
      <c r="AL187" t="s">
        <v>342</v>
      </c>
      <c r="AN187" t="s">
        <v>341</v>
      </c>
      <c r="AO187" t="s">
        <v>340</v>
      </c>
      <c r="AP187">
        <v>10056.58</v>
      </c>
      <c r="AS187" s="1">
        <v>17743.46</v>
      </c>
      <c r="AT187" s="3">
        <v>46022</v>
      </c>
      <c r="AX187" t="s">
        <v>2</v>
      </c>
      <c r="AY187" s="1">
        <v>8871.73</v>
      </c>
      <c r="AZ187" s="1">
        <v>8871.73</v>
      </c>
      <c r="BA187" s="1" t="s">
        <v>0</v>
      </c>
      <c r="BB187" t="s">
        <v>1</v>
      </c>
      <c r="BC187" t="s">
        <v>0</v>
      </c>
    </row>
    <row r="188" spans="1:55" x14ac:dyDescent="0.35">
      <c r="A188" t="s">
        <v>339</v>
      </c>
      <c r="B188">
        <v>68252</v>
      </c>
      <c r="C188" t="s">
        <v>338</v>
      </c>
      <c r="D188" t="s">
        <v>23</v>
      </c>
      <c r="E188" t="s">
        <v>337</v>
      </c>
      <c r="F188" t="s">
        <v>336</v>
      </c>
      <c r="G188" t="s">
        <v>17</v>
      </c>
      <c r="H188" t="s">
        <v>181</v>
      </c>
      <c r="I188" t="s">
        <v>15</v>
      </c>
      <c r="J188" t="s">
        <v>335</v>
      </c>
      <c r="K188" t="s">
        <v>179</v>
      </c>
      <c r="L188" t="s">
        <v>334</v>
      </c>
      <c r="M188" t="s">
        <v>333</v>
      </c>
      <c r="N188" t="s">
        <v>332</v>
      </c>
      <c r="O188" t="s">
        <v>175</v>
      </c>
      <c r="P188" t="s">
        <v>331</v>
      </c>
      <c r="Q188" t="s">
        <v>124</v>
      </c>
      <c r="R188" t="s">
        <v>28</v>
      </c>
      <c r="U188" s="2">
        <v>46007</v>
      </c>
      <c r="V188" s="2">
        <v>46006</v>
      </c>
      <c r="W188" s="1">
        <v>40000</v>
      </c>
      <c r="X188"/>
      <c r="Y188" t="s">
        <v>147</v>
      </c>
      <c r="Z188" t="s">
        <v>5</v>
      </c>
      <c r="AA188">
        <v>46327</v>
      </c>
      <c r="AB188" t="s">
        <v>330</v>
      </c>
      <c r="AC188">
        <v>0</v>
      </c>
      <c r="AD188">
        <v>40000</v>
      </c>
      <c r="AE188">
        <v>0</v>
      </c>
      <c r="AF188">
        <v>0</v>
      </c>
      <c r="AG188">
        <v>40200</v>
      </c>
      <c r="AH188">
        <v>0</v>
      </c>
      <c r="AI188" t="s">
        <v>329</v>
      </c>
      <c r="AK188">
        <v>0</v>
      </c>
      <c r="AL188" t="s">
        <v>329</v>
      </c>
      <c r="AN188" t="s">
        <v>328</v>
      </c>
      <c r="AO188" t="s">
        <v>327</v>
      </c>
      <c r="AP188">
        <v>20000</v>
      </c>
      <c r="AS188" s="1">
        <v>89859.75</v>
      </c>
      <c r="AT188" s="3">
        <v>46022</v>
      </c>
      <c r="AX188" t="s">
        <v>2</v>
      </c>
      <c r="AY188" s="1">
        <v>40648.78</v>
      </c>
      <c r="AZ188" s="1">
        <v>38872.32</v>
      </c>
      <c r="BA188" s="1">
        <v>38872.32</v>
      </c>
      <c r="BB188" t="s">
        <v>23</v>
      </c>
      <c r="BC188" t="b">
        <f>AZ188=BA188</f>
        <v>1</v>
      </c>
    </row>
    <row r="189" spans="1:55" x14ac:dyDescent="0.35">
      <c r="A189" t="s">
        <v>326</v>
      </c>
      <c r="B189">
        <v>13833</v>
      </c>
      <c r="C189" t="s">
        <v>325</v>
      </c>
      <c r="D189" t="s">
        <v>23</v>
      </c>
      <c r="E189" t="s">
        <v>324</v>
      </c>
      <c r="F189" t="s">
        <v>139</v>
      </c>
      <c r="G189" t="s">
        <v>17</v>
      </c>
      <c r="H189" t="s">
        <v>16</v>
      </c>
      <c r="I189" t="s">
        <v>15</v>
      </c>
      <c r="J189" t="s">
        <v>138</v>
      </c>
      <c r="K189" t="s">
        <v>33</v>
      </c>
      <c r="L189" t="s">
        <v>323</v>
      </c>
      <c r="M189" t="s">
        <v>136</v>
      </c>
      <c r="N189" t="s">
        <v>303</v>
      </c>
      <c r="O189" t="s">
        <v>42</v>
      </c>
      <c r="P189" t="s">
        <v>134</v>
      </c>
      <c r="Q189" t="s">
        <v>124</v>
      </c>
      <c r="R189" t="s">
        <v>28</v>
      </c>
      <c r="U189" s="2">
        <v>46009</v>
      </c>
      <c r="V189" s="2">
        <v>46008</v>
      </c>
      <c r="W189" s="1">
        <v>60000</v>
      </c>
      <c r="X189"/>
      <c r="Y189" t="s">
        <v>133</v>
      </c>
      <c r="Z189" t="s">
        <v>5</v>
      </c>
      <c r="AA189">
        <v>46722</v>
      </c>
      <c r="AC189">
        <v>0</v>
      </c>
      <c r="AD189">
        <v>60000</v>
      </c>
      <c r="AE189">
        <v>0</v>
      </c>
      <c r="AF189">
        <v>0</v>
      </c>
      <c r="AG189">
        <v>60260</v>
      </c>
      <c r="AH189">
        <v>0</v>
      </c>
      <c r="AI189" t="s">
        <v>322</v>
      </c>
      <c r="AK189">
        <v>0</v>
      </c>
      <c r="AL189" t="s">
        <v>321</v>
      </c>
      <c r="AN189" t="s">
        <v>320</v>
      </c>
      <c r="AO189" t="s">
        <v>319</v>
      </c>
      <c r="AP189">
        <v>30000</v>
      </c>
      <c r="AS189" s="1">
        <v>137195.07</v>
      </c>
      <c r="AT189" s="3">
        <v>46022</v>
      </c>
      <c r="AX189" t="s">
        <v>2</v>
      </c>
      <c r="AY189" s="1">
        <v>60821.73</v>
      </c>
      <c r="AZ189" s="1">
        <v>58163.64</v>
      </c>
      <c r="BA189" s="1">
        <v>58163.64</v>
      </c>
      <c r="BB189" t="s">
        <v>23</v>
      </c>
      <c r="BC189" t="b">
        <f>AZ189=BA189</f>
        <v>1</v>
      </c>
    </row>
    <row r="190" spans="1:55" x14ac:dyDescent="0.35">
      <c r="A190" t="s">
        <v>318</v>
      </c>
      <c r="B190">
        <v>75200</v>
      </c>
      <c r="C190" t="s">
        <v>317</v>
      </c>
      <c r="D190" t="s">
        <v>23</v>
      </c>
      <c r="E190" t="s">
        <v>316</v>
      </c>
      <c r="F190" t="s">
        <v>139</v>
      </c>
      <c r="G190" t="s">
        <v>17</v>
      </c>
      <c r="H190" t="s">
        <v>16</v>
      </c>
      <c r="I190" t="s">
        <v>15</v>
      </c>
      <c r="J190" t="s">
        <v>138</v>
      </c>
      <c r="K190" t="s">
        <v>33</v>
      </c>
      <c r="L190" t="s">
        <v>310</v>
      </c>
      <c r="M190" t="s">
        <v>136</v>
      </c>
      <c r="N190" t="s">
        <v>303</v>
      </c>
      <c r="O190" t="s">
        <v>42</v>
      </c>
      <c r="P190" t="s">
        <v>134</v>
      </c>
      <c r="Q190" t="s">
        <v>124</v>
      </c>
      <c r="R190" t="s">
        <v>28</v>
      </c>
      <c r="U190" s="2">
        <v>46009</v>
      </c>
      <c r="V190" s="2">
        <v>46007</v>
      </c>
      <c r="W190" s="1">
        <v>40000</v>
      </c>
      <c r="X190"/>
      <c r="Y190" t="s">
        <v>133</v>
      </c>
      <c r="Z190" t="s">
        <v>5</v>
      </c>
      <c r="AA190">
        <v>46722</v>
      </c>
      <c r="AC190">
        <v>0</v>
      </c>
      <c r="AD190">
        <v>40000</v>
      </c>
      <c r="AE190">
        <v>0</v>
      </c>
      <c r="AF190">
        <v>0</v>
      </c>
      <c r="AG190">
        <v>40186.660000000003</v>
      </c>
      <c r="AH190">
        <v>0</v>
      </c>
      <c r="AI190" t="s">
        <v>132</v>
      </c>
      <c r="AK190">
        <v>0</v>
      </c>
      <c r="AL190" t="s">
        <v>132</v>
      </c>
      <c r="AN190" t="s">
        <v>315</v>
      </c>
      <c r="AO190" t="s">
        <v>314</v>
      </c>
      <c r="AP190">
        <v>20000</v>
      </c>
      <c r="AS190" s="1">
        <v>64182.2</v>
      </c>
      <c r="AT190" s="3">
        <v>46022</v>
      </c>
      <c r="AX190" t="s">
        <v>2</v>
      </c>
      <c r="AY190" s="1">
        <v>32091.1</v>
      </c>
      <c r="AZ190" s="1">
        <v>32091.1</v>
      </c>
      <c r="BA190" s="1" t="s">
        <v>0</v>
      </c>
      <c r="BB190" t="s">
        <v>23</v>
      </c>
      <c r="BC190" t="s">
        <v>0</v>
      </c>
    </row>
    <row r="191" spans="1:55" x14ac:dyDescent="0.35">
      <c r="A191" t="s">
        <v>313</v>
      </c>
      <c r="B191">
        <v>5193</v>
      </c>
      <c r="C191" t="s">
        <v>312</v>
      </c>
      <c r="D191" t="s">
        <v>23</v>
      </c>
      <c r="E191" t="s">
        <v>311</v>
      </c>
      <c r="F191" t="s">
        <v>139</v>
      </c>
      <c r="G191" t="s">
        <v>17</v>
      </c>
      <c r="H191" t="s">
        <v>16</v>
      </c>
      <c r="I191" t="s">
        <v>15</v>
      </c>
      <c r="J191" t="s">
        <v>138</v>
      </c>
      <c r="K191" t="s">
        <v>33</v>
      </c>
      <c r="L191" t="s">
        <v>310</v>
      </c>
      <c r="M191" t="s">
        <v>136</v>
      </c>
      <c r="N191" t="s">
        <v>303</v>
      </c>
      <c r="O191" t="s">
        <v>42</v>
      </c>
      <c r="P191" t="s">
        <v>134</v>
      </c>
      <c r="Q191" t="s">
        <v>124</v>
      </c>
      <c r="R191" t="s">
        <v>28</v>
      </c>
      <c r="U191" s="2">
        <v>46009</v>
      </c>
      <c r="V191" s="2">
        <v>46007</v>
      </c>
      <c r="W191" s="1">
        <v>40000</v>
      </c>
      <c r="X191"/>
      <c r="Y191" t="s">
        <v>133</v>
      </c>
      <c r="Z191" t="s">
        <v>5</v>
      </c>
      <c r="AA191">
        <v>46722</v>
      </c>
      <c r="AC191">
        <v>0</v>
      </c>
      <c r="AD191">
        <v>40000</v>
      </c>
      <c r="AE191">
        <v>0</v>
      </c>
      <c r="AF191">
        <v>0</v>
      </c>
      <c r="AG191">
        <v>40186.660000000003</v>
      </c>
      <c r="AH191">
        <v>0</v>
      </c>
      <c r="AI191" t="s">
        <v>132</v>
      </c>
      <c r="AK191">
        <v>0</v>
      </c>
      <c r="AL191" t="s">
        <v>132</v>
      </c>
      <c r="AN191" t="s">
        <v>309</v>
      </c>
      <c r="AO191" t="s">
        <v>308</v>
      </c>
      <c r="AP191">
        <v>20000</v>
      </c>
      <c r="AS191" s="1">
        <v>63698.720000000001</v>
      </c>
      <c r="AT191" s="3">
        <v>46022</v>
      </c>
      <c r="AX191" t="s">
        <v>2</v>
      </c>
      <c r="AY191" s="1">
        <v>31543.43</v>
      </c>
      <c r="AZ191" s="1">
        <v>30339.95</v>
      </c>
      <c r="BA191" s="1">
        <v>30339.95</v>
      </c>
      <c r="BB191" t="s">
        <v>23</v>
      </c>
      <c r="BC191" t="b">
        <f>AZ191=BA191</f>
        <v>1</v>
      </c>
    </row>
    <row r="192" spans="1:55" x14ac:dyDescent="0.35">
      <c r="A192" t="s">
        <v>307</v>
      </c>
      <c r="B192">
        <v>51217</v>
      </c>
      <c r="C192" t="s">
        <v>306</v>
      </c>
      <c r="D192" t="s">
        <v>23</v>
      </c>
      <c r="E192" t="s">
        <v>305</v>
      </c>
      <c r="F192" t="s">
        <v>139</v>
      </c>
      <c r="G192" t="s">
        <v>17</v>
      </c>
      <c r="H192" t="s">
        <v>16</v>
      </c>
      <c r="I192" t="s">
        <v>15</v>
      </c>
      <c r="J192" t="s">
        <v>138</v>
      </c>
      <c r="K192" t="s">
        <v>33</v>
      </c>
      <c r="L192" t="s">
        <v>304</v>
      </c>
      <c r="M192" t="s">
        <v>136</v>
      </c>
      <c r="N192" t="s">
        <v>303</v>
      </c>
      <c r="O192" t="s">
        <v>42</v>
      </c>
      <c r="P192" t="s">
        <v>134</v>
      </c>
      <c r="Q192" t="s">
        <v>124</v>
      </c>
      <c r="R192" t="s">
        <v>28</v>
      </c>
      <c r="U192" s="2">
        <v>46009</v>
      </c>
      <c r="V192" s="2">
        <v>46007</v>
      </c>
      <c r="W192" s="1">
        <v>40000</v>
      </c>
      <c r="X192"/>
      <c r="Y192" t="s">
        <v>133</v>
      </c>
      <c r="Z192" t="s">
        <v>5</v>
      </c>
      <c r="AA192">
        <v>46722</v>
      </c>
      <c r="AC192">
        <v>0</v>
      </c>
      <c r="AD192">
        <v>40000</v>
      </c>
      <c r="AE192">
        <v>0</v>
      </c>
      <c r="AF192">
        <v>0</v>
      </c>
      <c r="AG192">
        <v>40186.660000000003</v>
      </c>
      <c r="AH192">
        <v>0</v>
      </c>
      <c r="AI192" t="s">
        <v>132</v>
      </c>
      <c r="AK192">
        <v>0</v>
      </c>
      <c r="AL192" t="s">
        <v>132</v>
      </c>
      <c r="AN192" t="s">
        <v>302</v>
      </c>
      <c r="AO192" t="s">
        <v>301</v>
      </c>
      <c r="AP192">
        <v>20000</v>
      </c>
      <c r="AS192" s="1">
        <v>187864</v>
      </c>
      <c r="AT192" s="3">
        <v>46022</v>
      </c>
      <c r="AX192" t="s">
        <v>2</v>
      </c>
      <c r="AY192" s="1">
        <v>31067.759999999998</v>
      </c>
      <c r="AZ192" s="1">
        <v>29882.42</v>
      </c>
      <c r="BA192" s="1">
        <v>29882.42</v>
      </c>
      <c r="BB192" t="s">
        <v>23</v>
      </c>
      <c r="BC192" t="b">
        <f>AZ192=BA192</f>
        <v>1</v>
      </c>
    </row>
    <row r="193" spans="1:55" x14ac:dyDescent="0.35">
      <c r="A193" t="s">
        <v>300</v>
      </c>
      <c r="B193">
        <v>66624</v>
      </c>
      <c r="C193" t="s">
        <v>299</v>
      </c>
      <c r="D193" t="s">
        <v>20</v>
      </c>
      <c r="E193" t="s">
        <v>298</v>
      </c>
      <c r="F193" t="s">
        <v>77</v>
      </c>
      <c r="G193" t="s">
        <v>17</v>
      </c>
      <c r="H193" t="s">
        <v>16</v>
      </c>
      <c r="I193" t="s">
        <v>15</v>
      </c>
      <c r="J193" t="s">
        <v>297</v>
      </c>
      <c r="K193" t="s">
        <v>13</v>
      </c>
      <c r="L193" t="s">
        <v>296</v>
      </c>
      <c r="M193" t="s">
        <v>11</v>
      </c>
      <c r="N193" t="s">
        <v>295</v>
      </c>
      <c r="O193" t="s">
        <v>9</v>
      </c>
      <c r="P193" t="s">
        <v>8</v>
      </c>
      <c r="Q193" t="s">
        <v>124</v>
      </c>
      <c r="R193" t="s">
        <v>7</v>
      </c>
      <c r="U193" s="2">
        <v>46010</v>
      </c>
      <c r="V193" s="2">
        <v>46009</v>
      </c>
      <c r="W193" s="1">
        <v>4901.96</v>
      </c>
      <c r="X193"/>
      <c r="Y193" t="s">
        <v>6</v>
      </c>
      <c r="Z193" t="s">
        <v>5</v>
      </c>
      <c r="AA193">
        <v>46417</v>
      </c>
      <c r="AB193" t="s">
        <v>294</v>
      </c>
      <c r="AC193">
        <v>4901.96</v>
      </c>
      <c r="AD193">
        <v>0</v>
      </c>
      <c r="AE193">
        <v>0</v>
      </c>
      <c r="AF193">
        <v>4901.96</v>
      </c>
      <c r="AG193">
        <v>0</v>
      </c>
      <c r="AH193">
        <v>0</v>
      </c>
      <c r="AI193" t="s">
        <v>293</v>
      </c>
      <c r="AK193">
        <v>0</v>
      </c>
      <c r="AL193" t="s">
        <v>293</v>
      </c>
      <c r="AN193" t="s">
        <v>292</v>
      </c>
      <c r="AO193" t="s">
        <v>291</v>
      </c>
      <c r="AP193">
        <v>2450.98</v>
      </c>
      <c r="AS193" s="1">
        <v>4737.96</v>
      </c>
      <c r="AT193" s="3">
        <v>46022</v>
      </c>
      <c r="AX193" t="s">
        <v>2</v>
      </c>
      <c r="AY193" s="1">
        <v>2353.23</v>
      </c>
      <c r="AZ193" s="1">
        <v>2263.4499999999998</v>
      </c>
      <c r="BA193" s="1">
        <v>2263.4499999999998</v>
      </c>
      <c r="BB193" t="s">
        <v>1</v>
      </c>
      <c r="BC193" t="b">
        <f>AZ193=BA193</f>
        <v>1</v>
      </c>
    </row>
    <row r="194" spans="1:55" x14ac:dyDescent="0.35">
      <c r="A194" t="s">
        <v>290</v>
      </c>
      <c r="B194">
        <v>75167</v>
      </c>
      <c r="C194" t="s">
        <v>289</v>
      </c>
      <c r="D194" t="s">
        <v>20</v>
      </c>
      <c r="E194" t="s">
        <v>288</v>
      </c>
      <c r="F194" t="s">
        <v>18</v>
      </c>
      <c r="G194" t="s">
        <v>17</v>
      </c>
      <c r="H194" t="s">
        <v>16</v>
      </c>
      <c r="I194" t="s">
        <v>15</v>
      </c>
      <c r="J194" t="s">
        <v>287</v>
      </c>
      <c r="K194" t="s">
        <v>13</v>
      </c>
      <c r="L194" t="s">
        <v>286</v>
      </c>
      <c r="M194" t="s">
        <v>11</v>
      </c>
      <c r="N194" t="s">
        <v>285</v>
      </c>
      <c r="O194" t="s">
        <v>9</v>
      </c>
      <c r="P194" t="s">
        <v>8</v>
      </c>
      <c r="Q194" t="s">
        <v>124</v>
      </c>
      <c r="R194" t="s">
        <v>7</v>
      </c>
      <c r="U194" s="2">
        <v>46013</v>
      </c>
      <c r="V194" s="2">
        <v>46007</v>
      </c>
      <c r="W194" s="1">
        <v>4825.5200000000004</v>
      </c>
      <c r="X194"/>
      <c r="Y194" t="s">
        <v>6</v>
      </c>
      <c r="Z194" t="s">
        <v>5</v>
      </c>
      <c r="AA194">
        <v>46417</v>
      </c>
      <c r="AB194" t="s">
        <v>284</v>
      </c>
      <c r="AC194">
        <v>4825.5200000000004</v>
      </c>
      <c r="AD194">
        <v>0</v>
      </c>
      <c r="AE194">
        <v>0</v>
      </c>
      <c r="AF194">
        <v>4825.5200000000004</v>
      </c>
      <c r="AG194">
        <v>0</v>
      </c>
      <c r="AH194">
        <v>0</v>
      </c>
      <c r="AK194">
        <v>0</v>
      </c>
      <c r="AN194" t="s">
        <v>283</v>
      </c>
      <c r="AO194" t="s">
        <v>282</v>
      </c>
      <c r="AP194">
        <v>2412.7600000000002</v>
      </c>
      <c r="AS194" s="1">
        <v>1154.5999999999999</v>
      </c>
      <c r="AT194" s="3">
        <v>46022</v>
      </c>
      <c r="AX194" t="s">
        <v>2</v>
      </c>
      <c r="AY194" s="1">
        <v>583.95000000000005</v>
      </c>
      <c r="AZ194" s="1">
        <v>570.65</v>
      </c>
      <c r="BA194" s="1" t="s">
        <v>0</v>
      </c>
      <c r="BB194" t="s">
        <v>1</v>
      </c>
      <c r="BC194" t="s">
        <v>0</v>
      </c>
    </row>
    <row r="195" spans="1:55" x14ac:dyDescent="0.35">
      <c r="A195" t="s">
        <v>281</v>
      </c>
      <c r="B195">
        <v>75226</v>
      </c>
      <c r="C195" t="s">
        <v>280</v>
      </c>
      <c r="D195" t="s">
        <v>279</v>
      </c>
      <c r="E195" t="s">
        <v>278</v>
      </c>
      <c r="F195" t="s">
        <v>277</v>
      </c>
      <c r="G195" t="s">
        <v>17</v>
      </c>
      <c r="H195" t="s">
        <v>276</v>
      </c>
      <c r="I195" t="s">
        <v>15</v>
      </c>
      <c r="J195" t="s">
        <v>275</v>
      </c>
      <c r="K195" t="s">
        <v>13</v>
      </c>
      <c r="L195" t="s">
        <v>274</v>
      </c>
      <c r="M195" t="s">
        <v>273</v>
      </c>
      <c r="N195" t="s">
        <v>272</v>
      </c>
      <c r="O195" t="s">
        <v>9</v>
      </c>
      <c r="P195" t="s">
        <v>29</v>
      </c>
      <c r="Q195" t="s">
        <v>124</v>
      </c>
      <c r="R195" t="s">
        <v>271</v>
      </c>
      <c r="T195" s="2"/>
      <c r="U195" s="2">
        <v>46021</v>
      </c>
      <c r="V195" s="2">
        <v>46020</v>
      </c>
      <c r="W195" s="1">
        <v>148135.85999999999</v>
      </c>
      <c r="X195"/>
      <c r="Y195" t="s">
        <v>270</v>
      </c>
      <c r="Z195" t="s">
        <v>5</v>
      </c>
      <c r="AA195" s="2" t="s">
        <v>4</v>
      </c>
      <c r="AC195">
        <v>0</v>
      </c>
      <c r="AD195">
        <v>148135.85999999999</v>
      </c>
      <c r="AE195">
        <v>0</v>
      </c>
      <c r="AF195">
        <v>0</v>
      </c>
      <c r="AG195">
        <v>148185.24</v>
      </c>
      <c r="AH195">
        <v>0</v>
      </c>
      <c r="AI195" t="s">
        <v>269</v>
      </c>
      <c r="AK195">
        <v>0</v>
      </c>
      <c r="AL195" t="s">
        <v>269</v>
      </c>
      <c r="AN195" t="s">
        <v>268</v>
      </c>
      <c r="AO195" t="s">
        <v>267</v>
      </c>
      <c r="AP195">
        <v>74067.929999999993</v>
      </c>
      <c r="AS195" s="1">
        <v>148185.24</v>
      </c>
      <c r="AT195" s="3">
        <v>46022</v>
      </c>
      <c r="AX195" t="s">
        <v>2</v>
      </c>
      <c r="AY195" s="1">
        <v>74092.62</v>
      </c>
      <c r="AZ195" s="1">
        <v>74067.929999999993</v>
      </c>
      <c r="BA195" s="1" t="s">
        <v>0</v>
      </c>
      <c r="BB195" t="s">
        <v>266</v>
      </c>
      <c r="BC195" t="s">
        <v>0</v>
      </c>
    </row>
    <row r="196" spans="1:55" x14ac:dyDescent="0.35">
      <c r="A196" t="s">
        <v>265</v>
      </c>
      <c r="B196">
        <v>75233</v>
      </c>
      <c r="C196" t="s">
        <v>264</v>
      </c>
      <c r="D196" t="s">
        <v>20</v>
      </c>
      <c r="E196" t="s">
        <v>96</v>
      </c>
      <c r="F196" t="s">
        <v>18</v>
      </c>
      <c r="G196" t="s">
        <v>17</v>
      </c>
      <c r="H196" t="s">
        <v>16</v>
      </c>
      <c r="I196" t="s">
        <v>15</v>
      </c>
      <c r="J196" t="s">
        <v>263</v>
      </c>
      <c r="K196" t="s">
        <v>13</v>
      </c>
      <c r="L196" t="s">
        <v>262</v>
      </c>
      <c r="M196" t="s">
        <v>11</v>
      </c>
      <c r="N196" t="s">
        <v>256</v>
      </c>
      <c r="O196" t="s">
        <v>9</v>
      </c>
      <c r="P196" t="s">
        <v>8</v>
      </c>
      <c r="Q196" t="s">
        <v>8</v>
      </c>
      <c r="R196" t="s">
        <v>7</v>
      </c>
      <c r="T196" s="2"/>
      <c r="U196" s="2">
        <v>46022</v>
      </c>
      <c r="V196" s="2">
        <v>46017</v>
      </c>
      <c r="W196" s="1">
        <v>154228</v>
      </c>
      <c r="X196"/>
      <c r="Y196" t="s">
        <v>6</v>
      </c>
      <c r="Z196" t="s">
        <v>5</v>
      </c>
      <c r="AA196" s="2" t="s">
        <v>4</v>
      </c>
      <c r="AB196" t="s">
        <v>261</v>
      </c>
      <c r="AC196">
        <v>154228</v>
      </c>
      <c r="AD196">
        <v>0</v>
      </c>
      <c r="AE196">
        <v>0</v>
      </c>
      <c r="AF196">
        <v>154228</v>
      </c>
      <c r="AG196">
        <v>0</v>
      </c>
      <c r="AH196">
        <v>0</v>
      </c>
      <c r="AI196" t="s">
        <v>92</v>
      </c>
      <c r="AK196">
        <v>0</v>
      </c>
      <c r="AL196" t="s">
        <v>92</v>
      </c>
      <c r="AN196" t="s">
        <v>91</v>
      </c>
      <c r="AO196" t="s">
        <v>90</v>
      </c>
      <c r="AP196">
        <v>77114.17</v>
      </c>
      <c r="AS196" s="1">
        <v>154228</v>
      </c>
      <c r="AT196" s="3">
        <v>46022</v>
      </c>
      <c r="AX196" t="s">
        <v>2</v>
      </c>
      <c r="AY196" s="1">
        <v>77114</v>
      </c>
      <c r="AZ196" s="1">
        <v>77114</v>
      </c>
      <c r="BA196" s="1" t="s">
        <v>0</v>
      </c>
      <c r="BB196" t="s">
        <v>1</v>
      </c>
      <c r="BC196" t="s">
        <v>0</v>
      </c>
    </row>
    <row r="197" spans="1:55" x14ac:dyDescent="0.35">
      <c r="A197" t="s">
        <v>260</v>
      </c>
      <c r="B197">
        <v>75231</v>
      </c>
      <c r="C197" t="s">
        <v>259</v>
      </c>
      <c r="D197" t="s">
        <v>20</v>
      </c>
      <c r="E197" t="s">
        <v>96</v>
      </c>
      <c r="F197" t="s">
        <v>77</v>
      </c>
      <c r="G197" t="s">
        <v>17</v>
      </c>
      <c r="H197" t="s">
        <v>16</v>
      </c>
      <c r="I197" t="s">
        <v>15</v>
      </c>
      <c r="J197" t="s">
        <v>258</v>
      </c>
      <c r="K197" t="s">
        <v>13</v>
      </c>
      <c r="L197" t="s">
        <v>257</v>
      </c>
      <c r="M197" t="s">
        <v>11</v>
      </c>
      <c r="N197" t="s">
        <v>256</v>
      </c>
      <c r="O197" t="s">
        <v>9</v>
      </c>
      <c r="P197" t="s">
        <v>8</v>
      </c>
      <c r="Q197" t="s">
        <v>8</v>
      </c>
      <c r="R197" t="s">
        <v>7</v>
      </c>
      <c r="T197" s="2"/>
      <c r="U197" s="2">
        <v>46022</v>
      </c>
      <c r="V197" s="2">
        <v>46017</v>
      </c>
      <c r="W197" s="1">
        <v>27726</v>
      </c>
      <c r="X197"/>
      <c r="Y197" t="s">
        <v>6</v>
      </c>
      <c r="Z197" t="s">
        <v>5</v>
      </c>
      <c r="AA197" s="2" t="s">
        <v>4</v>
      </c>
      <c r="AB197" t="s">
        <v>255</v>
      </c>
      <c r="AC197">
        <v>27726</v>
      </c>
      <c r="AD197">
        <v>0</v>
      </c>
      <c r="AE197">
        <v>0</v>
      </c>
      <c r="AF197">
        <v>27726</v>
      </c>
      <c r="AG197">
        <v>0</v>
      </c>
      <c r="AH197">
        <v>0</v>
      </c>
      <c r="AI197" t="s">
        <v>92</v>
      </c>
      <c r="AK197">
        <v>0</v>
      </c>
      <c r="AL197" t="s">
        <v>92</v>
      </c>
      <c r="AN197" t="s">
        <v>91</v>
      </c>
      <c r="AO197" t="s">
        <v>90</v>
      </c>
      <c r="AP197">
        <v>13863.04</v>
      </c>
      <c r="AS197" s="1">
        <v>27726</v>
      </c>
      <c r="AT197" s="3">
        <v>46022</v>
      </c>
      <c r="AX197" t="s">
        <v>2</v>
      </c>
      <c r="AY197" s="1">
        <v>13863</v>
      </c>
      <c r="AZ197" s="1">
        <v>13863</v>
      </c>
      <c r="BA197" s="1" t="s">
        <v>0</v>
      </c>
      <c r="BB197" t="s">
        <v>1</v>
      </c>
      <c r="BC197" t="s">
        <v>0</v>
      </c>
    </row>
    <row r="198" spans="1:55" x14ac:dyDescent="0.35">
      <c r="A198" t="s">
        <v>254</v>
      </c>
      <c r="B198">
        <v>75228</v>
      </c>
      <c r="C198" t="s">
        <v>253</v>
      </c>
      <c r="D198" t="s">
        <v>20</v>
      </c>
      <c r="E198" t="s">
        <v>115</v>
      </c>
      <c r="F198" t="s">
        <v>182</v>
      </c>
      <c r="G198" t="s">
        <v>17</v>
      </c>
      <c r="H198" t="s">
        <v>16</v>
      </c>
      <c r="I198" t="s">
        <v>15</v>
      </c>
      <c r="J198" t="s">
        <v>113</v>
      </c>
      <c r="K198" t="s">
        <v>13</v>
      </c>
      <c r="L198" t="s">
        <v>252</v>
      </c>
      <c r="M198" t="s">
        <v>11</v>
      </c>
      <c r="N198" t="s">
        <v>10</v>
      </c>
      <c r="O198" t="s">
        <v>9</v>
      </c>
      <c r="P198" t="s">
        <v>8</v>
      </c>
      <c r="Q198" t="s">
        <v>124</v>
      </c>
      <c r="R198" t="s">
        <v>7</v>
      </c>
      <c r="T198" s="2"/>
      <c r="U198" s="2">
        <v>46022</v>
      </c>
      <c r="V198" s="2">
        <v>46021</v>
      </c>
      <c r="W198" s="1">
        <v>6415.96</v>
      </c>
      <c r="X198"/>
      <c r="Y198" t="s">
        <v>6</v>
      </c>
      <c r="Z198" t="s">
        <v>5</v>
      </c>
      <c r="AA198" s="2" t="s">
        <v>4</v>
      </c>
      <c r="AB198" t="s">
        <v>251</v>
      </c>
      <c r="AC198">
        <v>6415.96</v>
      </c>
      <c r="AD198">
        <v>0</v>
      </c>
      <c r="AE198">
        <v>0</v>
      </c>
      <c r="AF198">
        <v>6415.96</v>
      </c>
      <c r="AG198">
        <v>0</v>
      </c>
      <c r="AH198">
        <v>0</v>
      </c>
      <c r="AK198">
        <v>0</v>
      </c>
      <c r="AP198">
        <v>3207.98</v>
      </c>
      <c r="AS198" s="1">
        <v>6415.96</v>
      </c>
      <c r="AT198" s="3">
        <v>46022</v>
      </c>
      <c r="AX198" t="s">
        <v>2</v>
      </c>
      <c r="AY198" s="1">
        <v>3207.98</v>
      </c>
      <c r="AZ198" s="1">
        <v>3207.98</v>
      </c>
      <c r="BA198" s="1" t="s">
        <v>0</v>
      </c>
      <c r="BB198" t="s">
        <v>1</v>
      </c>
      <c r="BC198" t="s">
        <v>0</v>
      </c>
    </row>
    <row r="199" spans="1:55" x14ac:dyDescent="0.35">
      <c r="A199" t="s">
        <v>250</v>
      </c>
      <c r="B199">
        <v>75229</v>
      </c>
      <c r="C199" t="s">
        <v>249</v>
      </c>
      <c r="D199" t="s">
        <v>20</v>
      </c>
      <c r="E199" t="s">
        <v>115</v>
      </c>
      <c r="F199" t="s">
        <v>18</v>
      </c>
      <c r="G199" t="s">
        <v>17</v>
      </c>
      <c r="H199" t="s">
        <v>16</v>
      </c>
      <c r="I199" t="s">
        <v>15</v>
      </c>
      <c r="J199" t="s">
        <v>244</v>
      </c>
      <c r="K199" t="s">
        <v>13</v>
      </c>
      <c r="L199" t="s">
        <v>248</v>
      </c>
      <c r="M199" t="s">
        <v>11</v>
      </c>
      <c r="N199" t="s">
        <v>231</v>
      </c>
      <c r="O199" t="s">
        <v>9</v>
      </c>
      <c r="P199" t="s">
        <v>8</v>
      </c>
      <c r="Q199" t="s">
        <v>8</v>
      </c>
      <c r="R199" t="s">
        <v>7</v>
      </c>
      <c r="T199" s="2"/>
      <c r="U199" s="2">
        <v>46022</v>
      </c>
      <c r="V199" s="2">
        <v>46021</v>
      </c>
      <c r="W199" s="1">
        <v>3175.58</v>
      </c>
      <c r="X199"/>
      <c r="Y199" t="s">
        <v>6</v>
      </c>
      <c r="Z199" t="s">
        <v>5</v>
      </c>
      <c r="AA199" s="2" t="s">
        <v>4</v>
      </c>
      <c r="AB199" t="s">
        <v>247</v>
      </c>
      <c r="AC199">
        <v>3175.58</v>
      </c>
      <c r="AD199">
        <v>0</v>
      </c>
      <c r="AE199">
        <v>0</v>
      </c>
      <c r="AF199">
        <v>3175.58</v>
      </c>
      <c r="AG199">
        <v>0</v>
      </c>
      <c r="AH199">
        <v>0</v>
      </c>
      <c r="AK199">
        <v>0</v>
      </c>
      <c r="AN199" t="s">
        <v>110</v>
      </c>
      <c r="AO199" t="s">
        <v>109</v>
      </c>
      <c r="AP199">
        <v>1587.79</v>
      </c>
      <c r="AS199" s="1">
        <v>3175.58</v>
      </c>
      <c r="AT199" s="3">
        <v>46022</v>
      </c>
      <c r="AX199" t="s">
        <v>2</v>
      </c>
      <c r="AY199" s="1">
        <v>1587.79</v>
      </c>
      <c r="AZ199" s="1">
        <v>1587.79</v>
      </c>
      <c r="BA199" s="1" t="s">
        <v>0</v>
      </c>
      <c r="BB199" t="s">
        <v>1</v>
      </c>
      <c r="BC199" t="s">
        <v>0</v>
      </c>
    </row>
    <row r="200" spans="1:55" x14ac:dyDescent="0.35">
      <c r="A200" t="s">
        <v>246</v>
      </c>
      <c r="B200">
        <v>75230</v>
      </c>
      <c r="C200" t="s">
        <v>245</v>
      </c>
      <c r="D200" t="s">
        <v>20</v>
      </c>
      <c r="E200" t="s">
        <v>115</v>
      </c>
      <c r="F200" t="s">
        <v>18</v>
      </c>
      <c r="G200" t="s">
        <v>17</v>
      </c>
      <c r="H200" t="s">
        <v>16</v>
      </c>
      <c r="I200" t="s">
        <v>15</v>
      </c>
      <c r="J200" t="s">
        <v>244</v>
      </c>
      <c r="K200" t="s">
        <v>13</v>
      </c>
      <c r="L200" t="s">
        <v>243</v>
      </c>
      <c r="M200" t="s">
        <v>11</v>
      </c>
      <c r="N200" t="s">
        <v>242</v>
      </c>
      <c r="O200" t="s">
        <v>9</v>
      </c>
      <c r="P200" t="s">
        <v>8</v>
      </c>
      <c r="Q200" t="s">
        <v>8</v>
      </c>
      <c r="R200" t="s">
        <v>7</v>
      </c>
      <c r="T200" s="2"/>
      <c r="U200" s="2">
        <v>46022</v>
      </c>
      <c r="V200" s="2">
        <v>46021</v>
      </c>
      <c r="W200" s="1">
        <v>3175.58</v>
      </c>
      <c r="X200"/>
      <c r="Y200" t="s">
        <v>6</v>
      </c>
      <c r="Z200" t="s">
        <v>5</v>
      </c>
      <c r="AA200" s="2" t="s">
        <v>4</v>
      </c>
      <c r="AB200" t="s">
        <v>241</v>
      </c>
      <c r="AC200">
        <v>3175.58</v>
      </c>
      <c r="AD200">
        <v>0</v>
      </c>
      <c r="AE200">
        <v>0</v>
      </c>
      <c r="AF200">
        <v>3175.58</v>
      </c>
      <c r="AG200">
        <v>0</v>
      </c>
      <c r="AH200">
        <v>0</v>
      </c>
      <c r="AK200">
        <v>0</v>
      </c>
      <c r="AN200" t="s">
        <v>110</v>
      </c>
      <c r="AO200" t="s">
        <v>109</v>
      </c>
      <c r="AP200">
        <v>1587.79</v>
      </c>
      <c r="AS200" s="1">
        <v>3175.58</v>
      </c>
      <c r="AT200" s="3">
        <v>46022</v>
      </c>
      <c r="AX200" t="s">
        <v>2</v>
      </c>
      <c r="AY200" s="1">
        <v>1587.79</v>
      </c>
      <c r="AZ200" s="1">
        <v>1587.79</v>
      </c>
      <c r="BA200" s="1" t="s">
        <v>0</v>
      </c>
      <c r="BB200" t="s">
        <v>1</v>
      </c>
      <c r="BC200" t="s">
        <v>0</v>
      </c>
    </row>
    <row r="201" spans="1:55" x14ac:dyDescent="0.35">
      <c r="A201" t="s">
        <v>240</v>
      </c>
      <c r="B201">
        <v>75227</v>
      </c>
      <c r="C201" t="s">
        <v>239</v>
      </c>
      <c r="D201" t="s">
        <v>20</v>
      </c>
      <c r="E201" t="s">
        <v>115</v>
      </c>
      <c r="F201" t="s">
        <v>18</v>
      </c>
      <c r="G201" t="s">
        <v>17</v>
      </c>
      <c r="H201" t="s">
        <v>16</v>
      </c>
      <c r="I201" t="s">
        <v>15</v>
      </c>
      <c r="J201" t="s">
        <v>14</v>
      </c>
      <c r="K201" t="s">
        <v>13</v>
      </c>
      <c r="L201" t="s">
        <v>238</v>
      </c>
      <c r="M201" t="s">
        <v>11</v>
      </c>
      <c r="N201" t="s">
        <v>10</v>
      </c>
      <c r="O201" t="s">
        <v>9</v>
      </c>
      <c r="P201" t="s">
        <v>8</v>
      </c>
      <c r="Q201" t="s">
        <v>8</v>
      </c>
      <c r="R201" t="s">
        <v>7</v>
      </c>
      <c r="T201" s="2"/>
      <c r="U201" s="2">
        <v>46022</v>
      </c>
      <c r="V201" s="2">
        <v>46021</v>
      </c>
      <c r="W201" s="1">
        <v>2607.3200000000002</v>
      </c>
      <c r="X201"/>
      <c r="Y201" t="s">
        <v>6</v>
      </c>
      <c r="Z201" t="s">
        <v>5</v>
      </c>
      <c r="AA201" s="2" t="s">
        <v>4</v>
      </c>
      <c r="AB201" t="s">
        <v>237</v>
      </c>
      <c r="AC201">
        <v>2607.3200000000002</v>
      </c>
      <c r="AD201">
        <v>0</v>
      </c>
      <c r="AE201">
        <v>0</v>
      </c>
      <c r="AF201">
        <v>2607.3200000000002</v>
      </c>
      <c r="AG201">
        <v>0</v>
      </c>
      <c r="AH201">
        <v>0</v>
      </c>
      <c r="AK201">
        <v>0</v>
      </c>
      <c r="AN201" t="s">
        <v>110</v>
      </c>
      <c r="AO201" t="s">
        <v>109</v>
      </c>
      <c r="AP201">
        <v>1303.6600000000001</v>
      </c>
      <c r="AS201" s="1">
        <v>2607.3200000000002</v>
      </c>
      <c r="AT201" s="3">
        <v>46022</v>
      </c>
      <c r="AX201" t="s">
        <v>2</v>
      </c>
      <c r="AY201" s="1">
        <v>1303.6600000000001</v>
      </c>
      <c r="AZ201" s="1">
        <v>1303.6600000000001</v>
      </c>
      <c r="BA201" s="1" t="s">
        <v>0</v>
      </c>
      <c r="BB201" t="s">
        <v>1</v>
      </c>
      <c r="BC201" t="s">
        <v>0</v>
      </c>
    </row>
    <row r="202" spans="1:55" x14ac:dyDescent="0.35">
      <c r="A202" t="s">
        <v>236</v>
      </c>
      <c r="B202">
        <v>75232</v>
      </c>
      <c r="C202" t="s">
        <v>235</v>
      </c>
      <c r="D202" t="s">
        <v>20</v>
      </c>
      <c r="E202" t="s">
        <v>115</v>
      </c>
      <c r="F202" t="s">
        <v>234</v>
      </c>
      <c r="G202" t="s">
        <v>17</v>
      </c>
      <c r="H202" t="s">
        <v>16</v>
      </c>
      <c r="I202" t="s">
        <v>15</v>
      </c>
      <c r="J202" t="s">
        <v>233</v>
      </c>
      <c r="K202" t="s">
        <v>13</v>
      </c>
      <c r="L202" t="s">
        <v>232</v>
      </c>
      <c r="M202" t="s">
        <v>11</v>
      </c>
      <c r="N202" t="s">
        <v>231</v>
      </c>
      <c r="O202" t="s">
        <v>9</v>
      </c>
      <c r="P202" t="s">
        <v>8</v>
      </c>
      <c r="Q202" t="s">
        <v>8</v>
      </c>
      <c r="R202" t="s">
        <v>7</v>
      </c>
      <c r="T202" s="2"/>
      <c r="U202" s="2">
        <v>46022</v>
      </c>
      <c r="V202" s="2">
        <v>46021</v>
      </c>
      <c r="W202" s="1">
        <v>1677.94</v>
      </c>
      <c r="X202"/>
      <c r="Y202" t="s">
        <v>6</v>
      </c>
      <c r="Z202" t="s">
        <v>5</v>
      </c>
      <c r="AA202" s="2" t="s">
        <v>4</v>
      </c>
      <c r="AB202" t="s">
        <v>230</v>
      </c>
      <c r="AC202">
        <v>1677.94</v>
      </c>
      <c r="AD202">
        <v>0</v>
      </c>
      <c r="AE202">
        <v>0</v>
      </c>
      <c r="AF202">
        <v>1677.94</v>
      </c>
      <c r="AG202">
        <v>0</v>
      </c>
      <c r="AH202">
        <v>0</v>
      </c>
      <c r="AK202">
        <v>0</v>
      </c>
      <c r="AN202" t="s">
        <v>110</v>
      </c>
      <c r="AO202" t="s">
        <v>109</v>
      </c>
      <c r="AP202">
        <v>838.97</v>
      </c>
      <c r="AS202" s="1">
        <v>1677.94</v>
      </c>
      <c r="AT202" s="3">
        <v>46022</v>
      </c>
      <c r="AX202" t="s">
        <v>2</v>
      </c>
      <c r="AY202" s="1">
        <v>838.97</v>
      </c>
      <c r="AZ202" s="1">
        <v>838.97</v>
      </c>
      <c r="BA202" s="1" t="s">
        <v>0</v>
      </c>
      <c r="BB202" t="s">
        <v>1</v>
      </c>
      <c r="BC202" t="s">
        <v>0</v>
      </c>
    </row>
    <row r="203" spans="1:55" x14ac:dyDescent="0.35">
      <c r="A203" t="s">
        <v>229</v>
      </c>
      <c r="B203">
        <v>75234</v>
      </c>
      <c r="C203" t="s">
        <v>228</v>
      </c>
      <c r="D203" t="s">
        <v>20</v>
      </c>
      <c r="E203" t="s">
        <v>227</v>
      </c>
      <c r="F203" t="s">
        <v>226</v>
      </c>
      <c r="G203" t="s">
        <v>17</v>
      </c>
      <c r="H203" t="s">
        <v>181</v>
      </c>
      <c r="I203" t="s">
        <v>15</v>
      </c>
      <c r="K203" t="s">
        <v>179</v>
      </c>
      <c r="L203" t="s">
        <v>225</v>
      </c>
      <c r="M203" t="s">
        <v>177</v>
      </c>
      <c r="N203" t="s">
        <v>224</v>
      </c>
      <c r="O203" t="s">
        <v>175</v>
      </c>
      <c r="P203" t="s">
        <v>8</v>
      </c>
      <c r="Q203" t="s">
        <v>8</v>
      </c>
      <c r="R203" t="s">
        <v>7</v>
      </c>
      <c r="T203" s="2"/>
      <c r="U203" s="2">
        <v>46023</v>
      </c>
      <c r="V203" s="2">
        <v>46021</v>
      </c>
      <c r="W203" s="1">
        <v>27597.94</v>
      </c>
      <c r="X203"/>
      <c r="Y203" t="s">
        <v>6</v>
      </c>
      <c r="Z203" t="s">
        <v>5</v>
      </c>
      <c r="AA203" s="2" t="s">
        <v>4</v>
      </c>
      <c r="AB203" t="s">
        <v>223</v>
      </c>
      <c r="AC203">
        <v>27597.94</v>
      </c>
      <c r="AD203">
        <v>0</v>
      </c>
      <c r="AE203">
        <v>0</v>
      </c>
      <c r="AF203">
        <v>27597.94</v>
      </c>
      <c r="AG203">
        <v>0</v>
      </c>
      <c r="AH203">
        <v>0</v>
      </c>
      <c r="AI203" t="s">
        <v>222</v>
      </c>
      <c r="AK203">
        <v>0</v>
      </c>
      <c r="AL203" t="s">
        <v>222</v>
      </c>
      <c r="AN203" t="s">
        <v>221</v>
      </c>
      <c r="AO203" t="s">
        <v>220</v>
      </c>
      <c r="AP203">
        <v>12544.52</v>
      </c>
      <c r="AS203" s="1">
        <v>27597.94</v>
      </c>
      <c r="AT203" s="3">
        <v>46053</v>
      </c>
      <c r="AX203" t="s">
        <v>2</v>
      </c>
      <c r="AY203" s="1">
        <v>13798.97</v>
      </c>
      <c r="AZ203" s="1">
        <v>13798.97</v>
      </c>
      <c r="BA203" s="1" t="s">
        <v>0</v>
      </c>
      <c r="BB203" t="s">
        <v>23</v>
      </c>
      <c r="BC203" t="s">
        <v>0</v>
      </c>
    </row>
    <row r="204" spans="1:55" x14ac:dyDescent="0.35">
      <c r="A204" t="s">
        <v>219</v>
      </c>
      <c r="B204">
        <v>75235</v>
      </c>
      <c r="C204" t="s">
        <v>218</v>
      </c>
      <c r="D204" t="s">
        <v>23</v>
      </c>
      <c r="E204" t="s">
        <v>217</v>
      </c>
      <c r="F204" t="s">
        <v>18</v>
      </c>
      <c r="G204" t="s">
        <v>17</v>
      </c>
      <c r="H204" t="s">
        <v>16</v>
      </c>
      <c r="I204" t="s">
        <v>15</v>
      </c>
      <c r="J204" t="s">
        <v>216</v>
      </c>
      <c r="K204" t="s">
        <v>13</v>
      </c>
      <c r="M204" t="s">
        <v>215</v>
      </c>
      <c r="N204" t="s">
        <v>214</v>
      </c>
      <c r="O204" t="s">
        <v>9</v>
      </c>
      <c r="P204" t="s">
        <v>29</v>
      </c>
      <c r="Q204" t="s">
        <v>124</v>
      </c>
      <c r="R204" t="s">
        <v>213</v>
      </c>
      <c r="T204" s="2"/>
      <c r="U204" s="2">
        <v>46024</v>
      </c>
      <c r="V204" s="2">
        <v>46022</v>
      </c>
      <c r="W204" s="1">
        <v>405739.4</v>
      </c>
      <c r="X204"/>
      <c r="Y204" t="s">
        <v>6</v>
      </c>
      <c r="Z204" t="s">
        <v>5</v>
      </c>
      <c r="AA204" s="2" t="s">
        <v>4</v>
      </c>
      <c r="AB204" t="s">
        <v>212</v>
      </c>
      <c r="AC204">
        <v>36885.4</v>
      </c>
      <c r="AD204">
        <v>368854</v>
      </c>
      <c r="AE204">
        <v>0</v>
      </c>
      <c r="AF204">
        <v>37332.49</v>
      </c>
      <c r="AG204">
        <v>373324.88</v>
      </c>
      <c r="AH204">
        <v>0</v>
      </c>
      <c r="AI204" t="s">
        <v>211</v>
      </c>
      <c r="AK204">
        <v>0</v>
      </c>
      <c r="AL204" t="s">
        <v>211</v>
      </c>
      <c r="AN204" t="s">
        <v>210</v>
      </c>
      <c r="AO204" t="s">
        <v>209</v>
      </c>
      <c r="AP204">
        <v>368854</v>
      </c>
      <c r="AS204" s="1">
        <v>405739.4</v>
      </c>
      <c r="AT204" s="3">
        <v>46053</v>
      </c>
      <c r="AX204" t="s">
        <v>2</v>
      </c>
      <c r="AY204" s="1">
        <v>37332.49</v>
      </c>
      <c r="AZ204" s="1">
        <v>36885.4</v>
      </c>
      <c r="BA204" s="1" t="s">
        <v>0</v>
      </c>
      <c r="BB204" t="s">
        <v>23</v>
      </c>
      <c r="BC204" t="s">
        <v>0</v>
      </c>
    </row>
    <row r="205" spans="1:55" x14ac:dyDescent="0.35">
      <c r="A205" t="s">
        <v>208</v>
      </c>
      <c r="B205">
        <v>75236</v>
      </c>
      <c r="C205" t="s">
        <v>207</v>
      </c>
      <c r="D205" t="s">
        <v>23</v>
      </c>
      <c r="E205" t="s">
        <v>206</v>
      </c>
      <c r="F205" t="s">
        <v>77</v>
      </c>
      <c r="G205" t="s">
        <v>17</v>
      </c>
      <c r="H205" t="s">
        <v>205</v>
      </c>
      <c r="I205" t="s">
        <v>15</v>
      </c>
      <c r="J205" t="s">
        <v>204</v>
      </c>
      <c r="K205" t="s">
        <v>33</v>
      </c>
      <c r="L205" t="s">
        <v>203</v>
      </c>
      <c r="M205" t="s">
        <v>202</v>
      </c>
      <c r="N205" t="s">
        <v>201</v>
      </c>
      <c r="O205" t="s">
        <v>42</v>
      </c>
      <c r="P205" t="s">
        <v>29</v>
      </c>
      <c r="Q205" t="s">
        <v>124</v>
      </c>
      <c r="R205" t="s">
        <v>28</v>
      </c>
      <c r="T205" s="2"/>
      <c r="U205" s="2">
        <v>46027</v>
      </c>
      <c r="V205" s="2">
        <v>45989</v>
      </c>
      <c r="W205" s="1">
        <v>8263411.5999999996</v>
      </c>
      <c r="X205"/>
      <c r="Y205" t="s">
        <v>200</v>
      </c>
      <c r="Z205" t="s">
        <v>5</v>
      </c>
      <c r="AA205" s="2" t="s">
        <v>4</v>
      </c>
      <c r="AB205" t="s">
        <v>199</v>
      </c>
      <c r="AC205">
        <v>0</v>
      </c>
      <c r="AD205">
        <v>8263411.5999999996</v>
      </c>
      <c r="AE205">
        <v>0</v>
      </c>
      <c r="AF205">
        <v>0</v>
      </c>
      <c r="AG205">
        <v>8364225.2199999997</v>
      </c>
      <c r="AH205">
        <v>0</v>
      </c>
      <c r="AK205">
        <v>0</v>
      </c>
      <c r="AN205" t="s">
        <v>198</v>
      </c>
      <c r="AO205" t="s">
        <v>197</v>
      </c>
      <c r="AP205">
        <v>4131705.8</v>
      </c>
      <c r="AS205" s="1">
        <v>8263411.5999999996</v>
      </c>
      <c r="AT205" s="3">
        <v>46053</v>
      </c>
      <c r="AX205" t="s">
        <v>2</v>
      </c>
      <c r="AY205" s="1">
        <v>4182112.61</v>
      </c>
      <c r="AZ205" s="1">
        <v>4131705.8</v>
      </c>
      <c r="BA205" s="1" t="s">
        <v>0</v>
      </c>
      <c r="BB205" t="s">
        <v>196</v>
      </c>
      <c r="BC205" t="s">
        <v>0</v>
      </c>
    </row>
    <row r="206" spans="1:55" x14ac:dyDescent="0.35">
      <c r="A206" t="s">
        <v>195</v>
      </c>
      <c r="B206">
        <v>75241</v>
      </c>
      <c r="C206" t="s">
        <v>194</v>
      </c>
      <c r="D206" t="s">
        <v>23</v>
      </c>
      <c r="E206" t="s">
        <v>193</v>
      </c>
      <c r="F206" t="s">
        <v>139</v>
      </c>
      <c r="G206" t="s">
        <v>17</v>
      </c>
      <c r="H206" t="s">
        <v>16</v>
      </c>
      <c r="I206" t="s">
        <v>15</v>
      </c>
      <c r="J206" t="s">
        <v>192</v>
      </c>
      <c r="K206" t="s">
        <v>33</v>
      </c>
      <c r="L206" t="s">
        <v>191</v>
      </c>
      <c r="M206" t="s">
        <v>190</v>
      </c>
      <c r="N206" t="s">
        <v>135</v>
      </c>
      <c r="O206" t="s">
        <v>42</v>
      </c>
      <c r="P206" t="s">
        <v>29</v>
      </c>
      <c r="Q206" t="s">
        <v>124</v>
      </c>
      <c r="R206" t="s">
        <v>28</v>
      </c>
      <c r="T206" s="2"/>
      <c r="U206" s="2">
        <v>46036</v>
      </c>
      <c r="V206" s="2">
        <v>46009</v>
      </c>
      <c r="W206" s="1">
        <v>400228.58</v>
      </c>
      <c r="X206"/>
      <c r="Y206" t="s">
        <v>189</v>
      </c>
      <c r="Z206" t="s">
        <v>5</v>
      </c>
      <c r="AA206" s="2" t="s">
        <v>4</v>
      </c>
      <c r="AC206">
        <v>0</v>
      </c>
      <c r="AD206">
        <v>400228.58</v>
      </c>
      <c r="AE206">
        <v>0</v>
      </c>
      <c r="AF206">
        <v>0</v>
      </c>
      <c r="AG206">
        <v>423736.62</v>
      </c>
      <c r="AH206">
        <v>0</v>
      </c>
      <c r="AK206">
        <v>0</v>
      </c>
      <c r="AN206" t="s">
        <v>188</v>
      </c>
      <c r="AO206" t="s">
        <v>187</v>
      </c>
      <c r="AP206">
        <v>200114.29</v>
      </c>
      <c r="AS206" s="1">
        <v>401829.5</v>
      </c>
      <c r="AT206" s="3">
        <v>46053</v>
      </c>
      <c r="AX206" t="s">
        <v>2</v>
      </c>
      <c r="AY206" s="1">
        <v>211868.31</v>
      </c>
      <c r="AZ206" s="1">
        <v>200114.29</v>
      </c>
      <c r="BA206" s="1" t="s">
        <v>0</v>
      </c>
      <c r="BB206" t="s">
        <v>186</v>
      </c>
      <c r="BC206" t="s">
        <v>0</v>
      </c>
    </row>
    <row r="207" spans="1:55" x14ac:dyDescent="0.35">
      <c r="A207" t="s">
        <v>185</v>
      </c>
      <c r="B207">
        <v>75282</v>
      </c>
      <c r="C207" t="s">
        <v>184</v>
      </c>
      <c r="D207" t="s">
        <v>20</v>
      </c>
      <c r="E207" t="s">
        <v>183</v>
      </c>
      <c r="F207" t="s">
        <v>182</v>
      </c>
      <c r="G207" t="s">
        <v>17</v>
      </c>
      <c r="H207" t="s">
        <v>181</v>
      </c>
      <c r="I207" t="s">
        <v>15</v>
      </c>
      <c r="J207" t="s">
        <v>180</v>
      </c>
      <c r="K207" t="s">
        <v>179</v>
      </c>
      <c r="L207" t="s">
        <v>178</v>
      </c>
      <c r="M207" t="s">
        <v>177</v>
      </c>
      <c r="N207" t="s">
        <v>176</v>
      </c>
      <c r="O207" t="s">
        <v>175</v>
      </c>
      <c r="P207" t="s">
        <v>8</v>
      </c>
      <c r="Q207" t="s">
        <v>8</v>
      </c>
      <c r="R207" t="s">
        <v>7</v>
      </c>
      <c r="T207" s="2"/>
      <c r="U207" s="2">
        <v>46043</v>
      </c>
      <c r="V207" s="2">
        <v>46042</v>
      </c>
      <c r="W207" s="1">
        <v>341126.34</v>
      </c>
      <c r="X207"/>
      <c r="Y207" t="s">
        <v>6</v>
      </c>
      <c r="Z207" t="s">
        <v>5</v>
      </c>
      <c r="AA207" s="2" t="s">
        <v>4</v>
      </c>
      <c r="AB207" t="s">
        <v>174</v>
      </c>
      <c r="AC207">
        <v>341126.34</v>
      </c>
      <c r="AD207">
        <v>0</v>
      </c>
      <c r="AE207">
        <v>0</v>
      </c>
      <c r="AF207">
        <v>341126.34</v>
      </c>
      <c r="AG207">
        <v>0</v>
      </c>
      <c r="AH207">
        <v>0</v>
      </c>
      <c r="AK207">
        <v>0</v>
      </c>
      <c r="AN207" t="s">
        <v>173</v>
      </c>
      <c r="AO207" t="s">
        <v>172</v>
      </c>
      <c r="AP207">
        <v>170563.17</v>
      </c>
      <c r="AS207" s="1">
        <v>341126.34</v>
      </c>
      <c r="AT207" s="3">
        <v>46053</v>
      </c>
      <c r="AX207" t="s">
        <v>2</v>
      </c>
      <c r="AY207" s="1">
        <v>170563.17</v>
      </c>
      <c r="AZ207" s="1">
        <v>170563.17</v>
      </c>
      <c r="BA207" s="1" t="s">
        <v>0</v>
      </c>
      <c r="BB207" t="s">
        <v>23</v>
      </c>
      <c r="BC207" t="s">
        <v>0</v>
      </c>
    </row>
    <row r="208" spans="1:55" x14ac:dyDescent="0.35">
      <c r="A208" t="s">
        <v>171</v>
      </c>
      <c r="B208">
        <v>75275</v>
      </c>
      <c r="C208" t="s">
        <v>170</v>
      </c>
      <c r="D208" t="s">
        <v>23</v>
      </c>
      <c r="E208" t="s">
        <v>169</v>
      </c>
      <c r="F208" t="s">
        <v>153</v>
      </c>
      <c r="G208" t="s">
        <v>17</v>
      </c>
      <c r="H208" t="s">
        <v>16</v>
      </c>
      <c r="I208" t="s">
        <v>15</v>
      </c>
      <c r="J208" t="s">
        <v>168</v>
      </c>
      <c r="K208" t="s">
        <v>13</v>
      </c>
      <c r="L208" t="s">
        <v>167</v>
      </c>
      <c r="M208" t="s">
        <v>166</v>
      </c>
      <c r="N208" t="s">
        <v>165</v>
      </c>
      <c r="O208" t="s">
        <v>9</v>
      </c>
      <c r="P208" t="s">
        <v>29</v>
      </c>
      <c r="Q208" t="s">
        <v>124</v>
      </c>
      <c r="R208" t="s">
        <v>28</v>
      </c>
      <c r="T208" s="2"/>
      <c r="U208" s="2">
        <v>46043</v>
      </c>
      <c r="V208" s="2">
        <v>46027</v>
      </c>
      <c r="W208" s="1">
        <v>50000.22</v>
      </c>
      <c r="X208">
        <v>50000</v>
      </c>
      <c r="Y208" t="s">
        <v>6</v>
      </c>
      <c r="Z208" t="s">
        <v>5</v>
      </c>
      <c r="AA208" s="2" t="s">
        <v>4</v>
      </c>
      <c r="AB208" t="s">
        <v>164</v>
      </c>
      <c r="AC208">
        <v>0.22</v>
      </c>
      <c r="AD208">
        <v>50000</v>
      </c>
      <c r="AE208">
        <v>0</v>
      </c>
      <c r="AF208">
        <v>0</v>
      </c>
      <c r="AG208">
        <v>100833.34</v>
      </c>
      <c r="AH208">
        <v>0</v>
      </c>
      <c r="AI208" t="s">
        <v>163</v>
      </c>
      <c r="AK208">
        <v>0</v>
      </c>
      <c r="AL208" t="s">
        <v>163</v>
      </c>
      <c r="AN208" t="s">
        <v>162</v>
      </c>
      <c r="AO208" t="s">
        <v>161</v>
      </c>
      <c r="AP208">
        <v>50000</v>
      </c>
      <c r="AS208" s="1">
        <v>100000</v>
      </c>
      <c r="AT208" s="3">
        <v>46053</v>
      </c>
      <c r="AX208" t="s">
        <v>2</v>
      </c>
      <c r="AY208" s="1">
        <v>50416.67</v>
      </c>
      <c r="AZ208" s="1">
        <v>50000</v>
      </c>
      <c r="BA208" s="1" t="s">
        <v>0</v>
      </c>
      <c r="BB208" t="s">
        <v>23</v>
      </c>
      <c r="BC208" t="s">
        <v>0</v>
      </c>
    </row>
    <row r="209" spans="1:55" x14ac:dyDescent="0.35">
      <c r="A209" t="s">
        <v>160</v>
      </c>
      <c r="B209">
        <v>75278</v>
      </c>
      <c r="C209" t="s">
        <v>159</v>
      </c>
      <c r="D209" t="s">
        <v>20</v>
      </c>
      <c r="E209" t="s">
        <v>96</v>
      </c>
      <c r="F209" t="s">
        <v>127</v>
      </c>
      <c r="G209" t="s">
        <v>17</v>
      </c>
      <c r="H209" t="s">
        <v>16</v>
      </c>
      <c r="I209" t="s">
        <v>15</v>
      </c>
      <c r="J209" t="s">
        <v>126</v>
      </c>
      <c r="K209" t="s">
        <v>13</v>
      </c>
      <c r="L209" t="s">
        <v>158</v>
      </c>
      <c r="M209" t="s">
        <v>11</v>
      </c>
      <c r="N209" t="s">
        <v>94</v>
      </c>
      <c r="O209" t="s">
        <v>9</v>
      </c>
      <c r="P209" t="s">
        <v>8</v>
      </c>
      <c r="Q209" t="s">
        <v>8</v>
      </c>
      <c r="R209" t="s">
        <v>7</v>
      </c>
      <c r="T209" s="2"/>
      <c r="U209" s="2">
        <v>46043</v>
      </c>
      <c r="V209" s="2">
        <v>45988</v>
      </c>
      <c r="W209" s="1">
        <v>51280</v>
      </c>
      <c r="X209">
        <v>25640</v>
      </c>
      <c r="Y209" t="s">
        <v>6</v>
      </c>
      <c r="Z209" t="s">
        <v>5</v>
      </c>
      <c r="AA209" s="2" t="s">
        <v>4</v>
      </c>
      <c r="AB209" t="s">
        <v>157</v>
      </c>
      <c r="AC209">
        <v>51280</v>
      </c>
      <c r="AD209">
        <v>0</v>
      </c>
      <c r="AE209">
        <v>0</v>
      </c>
      <c r="AF209">
        <v>51905.62</v>
      </c>
      <c r="AG209">
        <v>0</v>
      </c>
      <c r="AH209">
        <v>0</v>
      </c>
      <c r="AI209" t="s">
        <v>92</v>
      </c>
      <c r="AK209">
        <v>0</v>
      </c>
      <c r="AL209" t="s">
        <v>92</v>
      </c>
      <c r="AN209" t="s">
        <v>91</v>
      </c>
      <c r="AO209" t="s">
        <v>90</v>
      </c>
      <c r="AP209">
        <v>25640</v>
      </c>
      <c r="AS209" s="1">
        <v>51280</v>
      </c>
      <c r="AT209" s="3">
        <v>46053</v>
      </c>
      <c r="AX209" t="s">
        <v>2</v>
      </c>
      <c r="AY209" s="1">
        <v>25952.81</v>
      </c>
      <c r="AZ209" s="1">
        <v>25640</v>
      </c>
      <c r="BA209" s="1" t="s">
        <v>0</v>
      </c>
      <c r="BB209" t="s">
        <v>1</v>
      </c>
      <c r="BC209" t="s">
        <v>0</v>
      </c>
    </row>
    <row r="210" spans="1:55" x14ac:dyDescent="0.35">
      <c r="A210" t="s">
        <v>156</v>
      </c>
      <c r="B210">
        <v>75277</v>
      </c>
      <c r="C210" t="s">
        <v>155</v>
      </c>
      <c r="D210" t="s">
        <v>23</v>
      </c>
      <c r="E210" t="s">
        <v>154</v>
      </c>
      <c r="F210" t="s">
        <v>153</v>
      </c>
      <c r="G210" t="s">
        <v>17</v>
      </c>
      <c r="H210" t="s">
        <v>16</v>
      </c>
      <c r="I210" t="s">
        <v>15</v>
      </c>
      <c r="J210" t="s">
        <v>152</v>
      </c>
      <c r="K210" t="s">
        <v>13</v>
      </c>
      <c r="L210" t="s">
        <v>151</v>
      </c>
      <c r="M210" t="s">
        <v>150</v>
      </c>
      <c r="N210" t="s">
        <v>149</v>
      </c>
      <c r="O210" t="s">
        <v>9</v>
      </c>
      <c r="P210" t="s">
        <v>29</v>
      </c>
      <c r="Q210" t="s">
        <v>124</v>
      </c>
      <c r="R210" t="s">
        <v>148</v>
      </c>
      <c r="T210" s="2"/>
      <c r="U210" s="2">
        <v>46043</v>
      </c>
      <c r="V210" s="2">
        <v>46007</v>
      </c>
      <c r="W210" s="1">
        <v>42084.26</v>
      </c>
      <c r="X210">
        <v>21042.13</v>
      </c>
      <c r="Y210" t="s">
        <v>147</v>
      </c>
      <c r="Z210" t="s">
        <v>5</v>
      </c>
      <c r="AA210" s="2" t="s">
        <v>4</v>
      </c>
      <c r="AB210" t="s">
        <v>146</v>
      </c>
      <c r="AC210">
        <v>0</v>
      </c>
      <c r="AD210">
        <v>42084.26</v>
      </c>
      <c r="AE210">
        <v>0</v>
      </c>
      <c r="AF210">
        <v>0</v>
      </c>
      <c r="AG210">
        <v>42791.18</v>
      </c>
      <c r="AH210">
        <v>0</v>
      </c>
      <c r="AI210" t="s">
        <v>145</v>
      </c>
      <c r="AK210">
        <v>0</v>
      </c>
      <c r="AL210" t="s">
        <v>145</v>
      </c>
      <c r="AN210" t="s">
        <v>144</v>
      </c>
      <c r="AO210" t="s">
        <v>143</v>
      </c>
      <c r="AP210">
        <v>21042.13</v>
      </c>
      <c r="AS210" s="1">
        <v>42280.66</v>
      </c>
      <c r="AT210" s="3">
        <v>46053</v>
      </c>
      <c r="AX210" t="s">
        <v>2</v>
      </c>
      <c r="AY210" s="1">
        <v>21395.59</v>
      </c>
      <c r="AZ210" s="1">
        <v>21042.13</v>
      </c>
      <c r="BA210" s="1" t="s">
        <v>0</v>
      </c>
      <c r="BB210" t="s">
        <v>23</v>
      </c>
      <c r="BC210" t="s">
        <v>0</v>
      </c>
    </row>
    <row r="211" spans="1:55" x14ac:dyDescent="0.35">
      <c r="A211" t="s">
        <v>142</v>
      </c>
      <c r="B211">
        <v>75281</v>
      </c>
      <c r="C211" t="s">
        <v>141</v>
      </c>
      <c r="D211" t="s">
        <v>23</v>
      </c>
      <c r="E211" t="s">
        <v>140</v>
      </c>
      <c r="F211" t="s">
        <v>139</v>
      </c>
      <c r="G211" t="s">
        <v>17</v>
      </c>
      <c r="H211" t="s">
        <v>16</v>
      </c>
      <c r="I211" t="s">
        <v>15</v>
      </c>
      <c r="J211" t="s">
        <v>138</v>
      </c>
      <c r="K211" t="s">
        <v>33</v>
      </c>
      <c r="L211" t="s">
        <v>137</v>
      </c>
      <c r="M211" t="s">
        <v>136</v>
      </c>
      <c r="N211" t="s">
        <v>135</v>
      </c>
      <c r="O211" t="s">
        <v>42</v>
      </c>
      <c r="P211" t="s">
        <v>134</v>
      </c>
      <c r="Q211" t="s">
        <v>124</v>
      </c>
      <c r="R211" t="s">
        <v>28</v>
      </c>
      <c r="T211" s="2"/>
      <c r="U211" s="2">
        <v>46043</v>
      </c>
      <c r="V211" s="2">
        <v>46031</v>
      </c>
      <c r="W211" s="1">
        <v>40000</v>
      </c>
      <c r="X211">
        <v>20000</v>
      </c>
      <c r="Y211" t="s">
        <v>133</v>
      </c>
      <c r="Z211" t="s">
        <v>5</v>
      </c>
      <c r="AA211" s="2" t="s">
        <v>4</v>
      </c>
      <c r="AC211">
        <v>0</v>
      </c>
      <c r="AD211">
        <v>40000</v>
      </c>
      <c r="AE211">
        <v>0</v>
      </c>
      <c r="AF211">
        <v>0</v>
      </c>
      <c r="AG211">
        <v>40280</v>
      </c>
      <c r="AH211">
        <v>0</v>
      </c>
      <c r="AI211" t="s">
        <v>132</v>
      </c>
      <c r="AK211">
        <v>0</v>
      </c>
      <c r="AL211" t="s">
        <v>132</v>
      </c>
      <c r="AN211" t="s">
        <v>131</v>
      </c>
      <c r="AO211" t="s">
        <v>130</v>
      </c>
      <c r="AP211">
        <v>20000</v>
      </c>
      <c r="AS211" s="1">
        <v>40000</v>
      </c>
      <c r="AT211" s="3">
        <v>46053</v>
      </c>
      <c r="AX211" t="s">
        <v>2</v>
      </c>
      <c r="AY211" s="1">
        <v>20140</v>
      </c>
      <c r="AZ211" s="1">
        <v>20000</v>
      </c>
      <c r="BA211" s="1" t="s">
        <v>0</v>
      </c>
      <c r="BB211" t="s">
        <v>23</v>
      </c>
      <c r="BC211" t="s">
        <v>0</v>
      </c>
    </row>
    <row r="212" spans="1:55" x14ac:dyDescent="0.35">
      <c r="A212" t="s">
        <v>129</v>
      </c>
      <c r="B212">
        <v>75279</v>
      </c>
      <c r="C212" t="s">
        <v>128</v>
      </c>
      <c r="D212" t="s">
        <v>20</v>
      </c>
      <c r="E212" t="s">
        <v>96</v>
      </c>
      <c r="F212" t="s">
        <v>127</v>
      </c>
      <c r="G212" t="s">
        <v>17</v>
      </c>
      <c r="H212" t="s">
        <v>16</v>
      </c>
      <c r="I212" t="s">
        <v>15</v>
      </c>
      <c r="J212" t="s">
        <v>126</v>
      </c>
      <c r="K212" t="s">
        <v>13</v>
      </c>
      <c r="L212" t="s">
        <v>125</v>
      </c>
      <c r="M212" t="s">
        <v>11</v>
      </c>
      <c r="N212" t="s">
        <v>94</v>
      </c>
      <c r="O212" t="s">
        <v>9</v>
      </c>
      <c r="P212" t="s">
        <v>8</v>
      </c>
      <c r="Q212" t="s">
        <v>124</v>
      </c>
      <c r="R212" t="s">
        <v>7</v>
      </c>
      <c r="T212" s="2"/>
      <c r="U212" s="2">
        <v>46043</v>
      </c>
      <c r="V212" s="2">
        <v>45988</v>
      </c>
      <c r="W212" s="1">
        <v>37808</v>
      </c>
      <c r="X212">
        <v>18904</v>
      </c>
      <c r="Y212" t="s">
        <v>6</v>
      </c>
      <c r="Z212" t="s">
        <v>5</v>
      </c>
      <c r="AA212" s="2" t="s">
        <v>4</v>
      </c>
      <c r="AB212" t="s">
        <v>123</v>
      </c>
      <c r="AC212">
        <v>37808</v>
      </c>
      <c r="AD212">
        <v>0</v>
      </c>
      <c r="AE212">
        <v>0</v>
      </c>
      <c r="AF212">
        <v>38269.26</v>
      </c>
      <c r="AG212">
        <v>0</v>
      </c>
      <c r="AH212">
        <v>0</v>
      </c>
      <c r="AI212" t="s">
        <v>92</v>
      </c>
      <c r="AK212">
        <v>0</v>
      </c>
      <c r="AL212" t="s">
        <v>92</v>
      </c>
      <c r="AN212" t="s">
        <v>91</v>
      </c>
      <c r="AO212" t="s">
        <v>90</v>
      </c>
      <c r="AP212">
        <v>18904</v>
      </c>
      <c r="AS212" s="1">
        <v>37808</v>
      </c>
      <c r="AT212" s="3">
        <v>46053</v>
      </c>
      <c r="AX212" t="s">
        <v>2</v>
      </c>
      <c r="AY212" s="1">
        <v>19134.63</v>
      </c>
      <c r="AZ212" s="1">
        <v>18904</v>
      </c>
      <c r="BA212" s="1" t="s">
        <v>0</v>
      </c>
      <c r="BB212" t="s">
        <v>1</v>
      </c>
      <c r="BC212" t="s">
        <v>0</v>
      </c>
    </row>
    <row r="213" spans="1:55" x14ac:dyDescent="0.35">
      <c r="A213" t="s">
        <v>122</v>
      </c>
      <c r="B213">
        <v>75280</v>
      </c>
      <c r="C213" t="s">
        <v>121</v>
      </c>
      <c r="D213" t="s">
        <v>20</v>
      </c>
      <c r="E213" t="s">
        <v>96</v>
      </c>
      <c r="F213" t="s">
        <v>120</v>
      </c>
      <c r="G213" t="s">
        <v>17</v>
      </c>
      <c r="H213" t="s">
        <v>16</v>
      </c>
      <c r="I213" t="s">
        <v>15</v>
      </c>
      <c r="J213" t="s">
        <v>85</v>
      </c>
      <c r="K213" t="s">
        <v>13</v>
      </c>
      <c r="L213" t="s">
        <v>119</v>
      </c>
      <c r="M213" t="s">
        <v>11</v>
      </c>
      <c r="N213" t="s">
        <v>94</v>
      </c>
      <c r="O213" t="s">
        <v>9</v>
      </c>
      <c r="P213" t="s">
        <v>8</v>
      </c>
      <c r="Q213" t="s">
        <v>8</v>
      </c>
      <c r="R213" t="s">
        <v>7</v>
      </c>
      <c r="T213" s="2"/>
      <c r="U213" s="2">
        <v>46043</v>
      </c>
      <c r="V213" s="2">
        <v>45988</v>
      </c>
      <c r="W213" s="1">
        <v>30356.47</v>
      </c>
      <c r="X213">
        <v>15178</v>
      </c>
      <c r="Y213" t="s">
        <v>6</v>
      </c>
      <c r="Z213" t="s">
        <v>5</v>
      </c>
      <c r="AA213" s="2" t="s">
        <v>4</v>
      </c>
      <c r="AB213" t="s">
        <v>118</v>
      </c>
      <c r="AC213">
        <v>30356.47</v>
      </c>
      <c r="AD213">
        <v>0</v>
      </c>
      <c r="AE213">
        <v>0</v>
      </c>
      <c r="AF213">
        <v>30726.82</v>
      </c>
      <c r="AG213">
        <v>0</v>
      </c>
      <c r="AH213">
        <v>0</v>
      </c>
      <c r="AI213" t="s">
        <v>92</v>
      </c>
      <c r="AK213">
        <v>0</v>
      </c>
      <c r="AL213" t="s">
        <v>92</v>
      </c>
      <c r="AN213" t="s">
        <v>91</v>
      </c>
      <c r="AO213" t="s">
        <v>90</v>
      </c>
      <c r="AP213">
        <v>15178</v>
      </c>
      <c r="AS213" s="1">
        <v>30356.47</v>
      </c>
      <c r="AT213" s="3">
        <v>46053</v>
      </c>
      <c r="AX213" t="s">
        <v>2</v>
      </c>
      <c r="AY213" s="1">
        <v>15363.65</v>
      </c>
      <c r="AZ213" s="1">
        <v>15178.47</v>
      </c>
      <c r="BA213" s="1" t="s">
        <v>0</v>
      </c>
      <c r="BB213" t="s">
        <v>1</v>
      </c>
      <c r="BC213" t="s">
        <v>0</v>
      </c>
    </row>
    <row r="214" spans="1:55" x14ac:dyDescent="0.35">
      <c r="A214" t="s">
        <v>117</v>
      </c>
      <c r="B214">
        <v>75276</v>
      </c>
      <c r="C214" t="s">
        <v>116</v>
      </c>
      <c r="D214" t="s">
        <v>20</v>
      </c>
      <c r="E214" t="s">
        <v>115</v>
      </c>
      <c r="F214" t="s">
        <v>114</v>
      </c>
      <c r="G214" t="s">
        <v>17</v>
      </c>
      <c r="H214" t="s">
        <v>16</v>
      </c>
      <c r="I214" t="s">
        <v>15</v>
      </c>
      <c r="J214" t="s">
        <v>113</v>
      </c>
      <c r="K214" t="s">
        <v>13</v>
      </c>
      <c r="L214" t="s">
        <v>112</v>
      </c>
      <c r="M214" t="s">
        <v>11</v>
      </c>
      <c r="N214" t="s">
        <v>10</v>
      </c>
      <c r="O214" t="s">
        <v>9</v>
      </c>
      <c r="P214" t="s">
        <v>8</v>
      </c>
      <c r="Q214" t="s">
        <v>8</v>
      </c>
      <c r="R214" t="s">
        <v>7</v>
      </c>
      <c r="T214" s="2"/>
      <c r="U214" s="2">
        <v>46043</v>
      </c>
      <c r="V214" s="2">
        <v>46021</v>
      </c>
      <c r="W214" s="1">
        <v>7024.56</v>
      </c>
      <c r="X214">
        <v>3512.28</v>
      </c>
      <c r="Y214" t="s">
        <v>6</v>
      </c>
      <c r="Z214" t="s">
        <v>5</v>
      </c>
      <c r="AA214" s="2" t="s">
        <v>4</v>
      </c>
      <c r="AB214" t="s">
        <v>111</v>
      </c>
      <c r="AC214">
        <v>7024.56</v>
      </c>
      <c r="AD214">
        <v>0</v>
      </c>
      <c r="AE214">
        <v>0</v>
      </c>
      <c r="AF214">
        <v>7024.56</v>
      </c>
      <c r="AG214">
        <v>0</v>
      </c>
      <c r="AH214">
        <v>0</v>
      </c>
      <c r="AK214">
        <v>0</v>
      </c>
      <c r="AN214" t="s">
        <v>110</v>
      </c>
      <c r="AO214" t="s">
        <v>109</v>
      </c>
      <c r="AP214">
        <v>3512.28</v>
      </c>
      <c r="AS214" s="1">
        <v>7024.56</v>
      </c>
      <c r="AT214" s="3">
        <v>46053</v>
      </c>
      <c r="AX214" t="s">
        <v>2</v>
      </c>
      <c r="AY214" s="1">
        <v>3512.28</v>
      </c>
      <c r="AZ214" s="1">
        <v>3512.28</v>
      </c>
      <c r="BA214" s="1" t="s">
        <v>0</v>
      </c>
      <c r="BB214" t="s">
        <v>1</v>
      </c>
      <c r="BC214" t="s">
        <v>0</v>
      </c>
    </row>
    <row r="215" spans="1:55" x14ac:dyDescent="0.35">
      <c r="A215" t="s">
        <v>108</v>
      </c>
      <c r="B215">
        <v>75297</v>
      </c>
      <c r="C215" t="s">
        <v>107</v>
      </c>
      <c r="D215" t="s">
        <v>20</v>
      </c>
      <c r="E215" t="s">
        <v>47</v>
      </c>
      <c r="F215" t="s">
        <v>70</v>
      </c>
      <c r="G215" t="s">
        <v>17</v>
      </c>
      <c r="H215" t="s">
        <v>16</v>
      </c>
      <c r="I215" t="s">
        <v>15</v>
      </c>
      <c r="J215" t="s">
        <v>69</v>
      </c>
      <c r="K215" t="s">
        <v>33</v>
      </c>
      <c r="L215" t="s">
        <v>106</v>
      </c>
      <c r="M215" t="s">
        <v>105</v>
      </c>
      <c r="N215" t="s">
        <v>43</v>
      </c>
      <c r="O215" t="s">
        <v>42</v>
      </c>
      <c r="P215" t="s">
        <v>8</v>
      </c>
      <c r="Q215" t="s">
        <v>8</v>
      </c>
      <c r="R215" t="s">
        <v>7</v>
      </c>
      <c r="T215" s="2"/>
      <c r="U215" s="2">
        <v>46044</v>
      </c>
      <c r="V215" s="2">
        <v>45996</v>
      </c>
      <c r="W215" s="1">
        <v>218428.38</v>
      </c>
      <c r="X215">
        <v>109214.19</v>
      </c>
      <c r="Y215" t="s">
        <v>6</v>
      </c>
      <c r="Z215" t="s">
        <v>5</v>
      </c>
      <c r="AA215" s="2" t="s">
        <v>4</v>
      </c>
      <c r="AC215">
        <v>218428.38</v>
      </c>
      <c r="AD215">
        <v>0</v>
      </c>
      <c r="AE215">
        <v>0</v>
      </c>
      <c r="AF215">
        <v>218428.38</v>
      </c>
      <c r="AG215">
        <v>0</v>
      </c>
      <c r="AH215">
        <v>0</v>
      </c>
      <c r="AK215">
        <v>0</v>
      </c>
      <c r="AN215" t="s">
        <v>39</v>
      </c>
      <c r="AO215" t="s">
        <v>38</v>
      </c>
      <c r="AP215">
        <v>109214.19</v>
      </c>
      <c r="AS215" s="1">
        <v>218428.38</v>
      </c>
      <c r="AT215" s="3">
        <v>46053</v>
      </c>
      <c r="AX215" t="s">
        <v>2</v>
      </c>
      <c r="AY215" s="1">
        <v>109214.19</v>
      </c>
      <c r="AZ215" s="1">
        <v>109214.19</v>
      </c>
      <c r="BA215" s="1" t="s">
        <v>0</v>
      </c>
      <c r="BB215" t="s">
        <v>104</v>
      </c>
      <c r="BC215" t="s">
        <v>0</v>
      </c>
    </row>
    <row r="216" spans="1:55" x14ac:dyDescent="0.35">
      <c r="A216" t="s">
        <v>103</v>
      </c>
      <c r="B216">
        <v>75300</v>
      </c>
      <c r="C216" t="s">
        <v>102</v>
      </c>
      <c r="D216" t="s">
        <v>20</v>
      </c>
      <c r="E216" t="s">
        <v>96</v>
      </c>
      <c r="F216" t="s">
        <v>18</v>
      </c>
      <c r="G216" t="s">
        <v>17</v>
      </c>
      <c r="H216" t="s">
        <v>16</v>
      </c>
      <c r="I216" t="s">
        <v>15</v>
      </c>
      <c r="J216" t="s">
        <v>101</v>
      </c>
      <c r="K216" t="s">
        <v>13</v>
      </c>
      <c r="L216" t="s">
        <v>100</v>
      </c>
      <c r="M216" t="s">
        <v>11</v>
      </c>
      <c r="N216" t="s">
        <v>94</v>
      </c>
      <c r="O216" t="s">
        <v>9</v>
      </c>
      <c r="P216" t="s">
        <v>8</v>
      </c>
      <c r="Q216" t="s">
        <v>8</v>
      </c>
      <c r="R216" t="s">
        <v>7</v>
      </c>
      <c r="T216" s="2"/>
      <c r="U216" s="2">
        <v>46044</v>
      </c>
      <c r="V216" s="2">
        <v>45955</v>
      </c>
      <c r="W216" s="1">
        <v>58718</v>
      </c>
      <c r="X216">
        <v>29359</v>
      </c>
      <c r="Y216" t="s">
        <v>6</v>
      </c>
      <c r="Z216" t="s">
        <v>5</v>
      </c>
      <c r="AA216" s="2" t="s">
        <v>4</v>
      </c>
      <c r="AB216" t="s">
        <v>99</v>
      </c>
      <c r="AC216">
        <v>58718</v>
      </c>
      <c r="AD216">
        <v>0</v>
      </c>
      <c r="AE216">
        <v>0</v>
      </c>
      <c r="AF216">
        <v>60050.9</v>
      </c>
      <c r="AG216">
        <v>0</v>
      </c>
      <c r="AH216">
        <v>0</v>
      </c>
      <c r="AI216" t="s">
        <v>92</v>
      </c>
      <c r="AK216">
        <v>0</v>
      </c>
      <c r="AL216" t="s">
        <v>92</v>
      </c>
      <c r="AN216" t="s">
        <v>91</v>
      </c>
      <c r="AO216" t="s">
        <v>90</v>
      </c>
      <c r="AP216">
        <v>29359.17</v>
      </c>
      <c r="AS216" s="1">
        <v>59334.54</v>
      </c>
      <c r="AT216" s="3">
        <v>46053</v>
      </c>
      <c r="AX216" t="s">
        <v>2</v>
      </c>
      <c r="AY216" s="1">
        <v>30025.45</v>
      </c>
      <c r="AZ216" s="1">
        <v>29359</v>
      </c>
      <c r="BA216" s="1" t="s">
        <v>0</v>
      </c>
      <c r="BB216" t="s">
        <v>1</v>
      </c>
      <c r="BC216" t="s">
        <v>0</v>
      </c>
    </row>
    <row r="217" spans="1:55" x14ac:dyDescent="0.35">
      <c r="A217" t="s">
        <v>98</v>
      </c>
      <c r="B217">
        <v>75301</v>
      </c>
      <c r="C217" t="s">
        <v>97</v>
      </c>
      <c r="D217" t="s">
        <v>20</v>
      </c>
      <c r="E217" t="s">
        <v>96</v>
      </c>
      <c r="F217" t="s">
        <v>18</v>
      </c>
      <c r="G217" t="s">
        <v>17</v>
      </c>
      <c r="H217" t="s">
        <v>16</v>
      </c>
      <c r="I217" t="s">
        <v>15</v>
      </c>
      <c r="J217" t="s">
        <v>85</v>
      </c>
      <c r="K217" t="s">
        <v>13</v>
      </c>
      <c r="L217" t="s">
        <v>95</v>
      </c>
      <c r="M217" t="s">
        <v>11</v>
      </c>
      <c r="N217" t="s">
        <v>94</v>
      </c>
      <c r="O217" t="s">
        <v>9</v>
      </c>
      <c r="P217" t="s">
        <v>8</v>
      </c>
      <c r="Q217" t="s">
        <v>8</v>
      </c>
      <c r="R217" t="s">
        <v>7</v>
      </c>
      <c r="T217" s="2"/>
      <c r="U217" s="2">
        <v>46044</v>
      </c>
      <c r="V217" s="2">
        <v>45988</v>
      </c>
      <c r="W217" s="1">
        <v>51352</v>
      </c>
      <c r="X217">
        <v>25676</v>
      </c>
      <c r="Y217" t="s">
        <v>6</v>
      </c>
      <c r="Z217" t="s">
        <v>5</v>
      </c>
      <c r="AA217" s="2" t="s">
        <v>4</v>
      </c>
      <c r="AB217" t="s">
        <v>93</v>
      </c>
      <c r="AC217">
        <v>51352</v>
      </c>
      <c r="AD217">
        <v>0</v>
      </c>
      <c r="AE217">
        <v>0</v>
      </c>
      <c r="AF217">
        <v>51978.5</v>
      </c>
      <c r="AG217">
        <v>0</v>
      </c>
      <c r="AH217">
        <v>0</v>
      </c>
      <c r="AI217" t="s">
        <v>92</v>
      </c>
      <c r="AK217">
        <v>0</v>
      </c>
      <c r="AL217" t="s">
        <v>92</v>
      </c>
      <c r="AN217" t="s">
        <v>91</v>
      </c>
      <c r="AO217" t="s">
        <v>90</v>
      </c>
      <c r="AP217">
        <v>25675.58</v>
      </c>
      <c r="AS217" s="1">
        <v>51352</v>
      </c>
      <c r="AT217" s="3">
        <v>46053</v>
      </c>
      <c r="AX217" t="s">
        <v>2</v>
      </c>
      <c r="AY217" s="1">
        <v>25989.25</v>
      </c>
      <c r="AZ217" s="1">
        <v>25676</v>
      </c>
      <c r="BA217" s="1" t="s">
        <v>0</v>
      </c>
      <c r="BB217" t="s">
        <v>1</v>
      </c>
      <c r="BC217" t="s">
        <v>0</v>
      </c>
    </row>
    <row r="218" spans="1:55" x14ac:dyDescent="0.35">
      <c r="A218" t="s">
        <v>89</v>
      </c>
      <c r="B218">
        <v>75299</v>
      </c>
      <c r="C218" t="s">
        <v>88</v>
      </c>
      <c r="D218" t="s">
        <v>20</v>
      </c>
      <c r="E218" t="s">
        <v>87</v>
      </c>
      <c r="F218" t="s">
        <v>86</v>
      </c>
      <c r="G218" t="s">
        <v>17</v>
      </c>
      <c r="H218" t="s">
        <v>16</v>
      </c>
      <c r="I218" t="s">
        <v>15</v>
      </c>
      <c r="J218" t="s">
        <v>85</v>
      </c>
      <c r="K218" t="s">
        <v>13</v>
      </c>
      <c r="L218" t="s">
        <v>84</v>
      </c>
      <c r="M218" t="s">
        <v>11</v>
      </c>
      <c r="N218" t="s">
        <v>83</v>
      </c>
      <c r="O218" t="s">
        <v>9</v>
      </c>
      <c r="P218" t="s">
        <v>8</v>
      </c>
      <c r="Q218" t="s">
        <v>8</v>
      </c>
      <c r="R218" t="s">
        <v>7</v>
      </c>
      <c r="T218" s="2"/>
      <c r="U218" s="2">
        <v>46044</v>
      </c>
      <c r="V218" s="2">
        <v>46001</v>
      </c>
      <c r="W218" s="1">
        <v>49644.2</v>
      </c>
      <c r="X218">
        <v>24822.1</v>
      </c>
      <c r="Y218" t="s">
        <v>6</v>
      </c>
      <c r="Z218" t="s">
        <v>5</v>
      </c>
      <c r="AA218" s="2" t="s">
        <v>4</v>
      </c>
      <c r="AB218" t="s">
        <v>82</v>
      </c>
      <c r="AC218">
        <v>49644.2</v>
      </c>
      <c r="AD218">
        <v>0</v>
      </c>
      <c r="AE218">
        <v>0</v>
      </c>
      <c r="AF218">
        <v>49644.2</v>
      </c>
      <c r="AG218">
        <v>0</v>
      </c>
      <c r="AH218">
        <v>0</v>
      </c>
      <c r="AK218">
        <v>0</v>
      </c>
      <c r="AN218" t="s">
        <v>81</v>
      </c>
      <c r="AO218" t="s">
        <v>80</v>
      </c>
      <c r="AP218">
        <v>24822.1</v>
      </c>
      <c r="AS218" s="1">
        <v>49644.2</v>
      </c>
      <c r="AT218" s="3">
        <v>46053</v>
      </c>
      <c r="AX218" t="s">
        <v>2</v>
      </c>
      <c r="AY218" s="1">
        <v>24822.1</v>
      </c>
      <c r="AZ218" s="1">
        <v>24822.1</v>
      </c>
      <c r="BA218" s="1" t="s">
        <v>0</v>
      </c>
      <c r="BB218" t="s">
        <v>1</v>
      </c>
      <c r="BC218" t="s">
        <v>0</v>
      </c>
    </row>
    <row r="219" spans="1:55" x14ac:dyDescent="0.35">
      <c r="A219" t="s">
        <v>79</v>
      </c>
      <c r="B219">
        <v>75295</v>
      </c>
      <c r="C219" t="s">
        <v>78</v>
      </c>
      <c r="D219" t="s">
        <v>20</v>
      </c>
      <c r="E219" t="s">
        <v>47</v>
      </c>
      <c r="F219" t="s">
        <v>77</v>
      </c>
      <c r="G219" t="s">
        <v>17</v>
      </c>
      <c r="H219" t="s">
        <v>16</v>
      </c>
      <c r="I219" t="s">
        <v>15</v>
      </c>
      <c r="J219" t="s">
        <v>76</v>
      </c>
      <c r="K219" t="s">
        <v>33</v>
      </c>
      <c r="L219" t="s">
        <v>75</v>
      </c>
      <c r="M219" t="s">
        <v>11</v>
      </c>
      <c r="N219" t="s">
        <v>43</v>
      </c>
      <c r="O219" t="s">
        <v>42</v>
      </c>
      <c r="P219" t="s">
        <v>8</v>
      </c>
      <c r="Q219" t="s">
        <v>8</v>
      </c>
      <c r="R219" t="s">
        <v>74</v>
      </c>
      <c r="T219" s="2"/>
      <c r="U219" s="2">
        <v>46044</v>
      </c>
      <c r="V219" s="2">
        <v>45996</v>
      </c>
      <c r="W219" s="1">
        <v>42405.14</v>
      </c>
      <c r="X219">
        <v>21202.57</v>
      </c>
      <c r="Y219" t="s">
        <v>6</v>
      </c>
      <c r="Z219" t="s">
        <v>5</v>
      </c>
      <c r="AA219" s="2" t="s">
        <v>4</v>
      </c>
      <c r="AB219" t="s">
        <v>73</v>
      </c>
      <c r="AC219">
        <v>42405.14</v>
      </c>
      <c r="AD219">
        <v>0</v>
      </c>
      <c r="AE219">
        <v>0</v>
      </c>
      <c r="AF219">
        <v>42405.14</v>
      </c>
      <c r="AG219">
        <v>0</v>
      </c>
      <c r="AH219">
        <v>0</v>
      </c>
      <c r="AI219" t="s">
        <v>40</v>
      </c>
      <c r="AK219">
        <v>0</v>
      </c>
      <c r="AL219" t="s">
        <v>40</v>
      </c>
      <c r="AN219" t="s">
        <v>39</v>
      </c>
      <c r="AO219" t="s">
        <v>38</v>
      </c>
      <c r="AP219">
        <v>21202.57</v>
      </c>
      <c r="AS219" s="1">
        <v>42405.14</v>
      </c>
      <c r="AT219" s="3">
        <v>46053</v>
      </c>
      <c r="AX219" t="s">
        <v>2</v>
      </c>
      <c r="AY219" s="1">
        <v>21202.57</v>
      </c>
      <c r="AZ219" s="1">
        <v>21202.57</v>
      </c>
      <c r="BA219" s="1" t="s">
        <v>0</v>
      </c>
      <c r="BB219" t="s">
        <v>1</v>
      </c>
      <c r="BC219" t="s">
        <v>0</v>
      </c>
    </row>
    <row r="220" spans="1:55" x14ac:dyDescent="0.35">
      <c r="A220" t="s">
        <v>72</v>
      </c>
      <c r="B220">
        <v>75298</v>
      </c>
      <c r="C220" t="s">
        <v>71</v>
      </c>
      <c r="D220" t="s">
        <v>20</v>
      </c>
      <c r="E220" t="s">
        <v>47</v>
      </c>
      <c r="F220" t="s">
        <v>70</v>
      </c>
      <c r="G220" t="s">
        <v>17</v>
      </c>
      <c r="H220" t="s">
        <v>16</v>
      </c>
      <c r="I220" t="s">
        <v>15</v>
      </c>
      <c r="J220" t="s">
        <v>69</v>
      </c>
      <c r="K220" t="s">
        <v>33</v>
      </c>
      <c r="L220" t="s">
        <v>68</v>
      </c>
      <c r="M220" t="s">
        <v>11</v>
      </c>
      <c r="N220" t="s">
        <v>43</v>
      </c>
      <c r="O220" t="s">
        <v>42</v>
      </c>
      <c r="P220" t="s">
        <v>8</v>
      </c>
      <c r="Q220" t="s">
        <v>8</v>
      </c>
      <c r="R220" t="s">
        <v>7</v>
      </c>
      <c r="T220" s="2"/>
      <c r="U220" s="2">
        <v>46044</v>
      </c>
      <c r="V220" s="2">
        <v>45996</v>
      </c>
      <c r="W220" s="1">
        <v>38574.720000000001</v>
      </c>
      <c r="X220">
        <v>19287.36</v>
      </c>
      <c r="Y220" t="s">
        <v>6</v>
      </c>
      <c r="Z220" t="s">
        <v>5</v>
      </c>
      <c r="AA220" s="2" t="s">
        <v>4</v>
      </c>
      <c r="AB220" t="s">
        <v>67</v>
      </c>
      <c r="AC220">
        <v>38574.720000000001</v>
      </c>
      <c r="AD220">
        <v>0</v>
      </c>
      <c r="AE220">
        <v>0</v>
      </c>
      <c r="AF220">
        <v>38574.720000000001</v>
      </c>
      <c r="AG220">
        <v>0</v>
      </c>
      <c r="AH220">
        <v>0</v>
      </c>
      <c r="AI220" t="s">
        <v>40</v>
      </c>
      <c r="AK220">
        <v>0</v>
      </c>
      <c r="AL220" t="s">
        <v>40</v>
      </c>
      <c r="AN220" t="s">
        <v>39</v>
      </c>
      <c r="AO220" t="s">
        <v>38</v>
      </c>
      <c r="AP220">
        <v>19287.36</v>
      </c>
      <c r="AS220" s="1">
        <v>38574.720000000001</v>
      </c>
      <c r="AT220" s="3">
        <v>46053</v>
      </c>
      <c r="AX220" t="s">
        <v>2</v>
      </c>
      <c r="AY220" s="1">
        <v>19287.36</v>
      </c>
      <c r="AZ220" s="1">
        <v>19287.36</v>
      </c>
      <c r="BA220" s="1" t="s">
        <v>0</v>
      </c>
      <c r="BB220" t="s">
        <v>1</v>
      </c>
      <c r="BC220" t="s">
        <v>0</v>
      </c>
    </row>
    <row r="221" spans="1:55" x14ac:dyDescent="0.35">
      <c r="A221" t="s">
        <v>66</v>
      </c>
      <c r="B221">
        <v>75292</v>
      </c>
      <c r="C221" t="s">
        <v>65</v>
      </c>
      <c r="D221" t="s">
        <v>20</v>
      </c>
      <c r="E221" t="s">
        <v>47</v>
      </c>
      <c r="F221" t="s">
        <v>64</v>
      </c>
      <c r="G221" t="s">
        <v>17</v>
      </c>
      <c r="H221" t="s">
        <v>16</v>
      </c>
      <c r="I221" t="s">
        <v>15</v>
      </c>
      <c r="J221" t="s">
        <v>63</v>
      </c>
      <c r="K221" t="s">
        <v>33</v>
      </c>
      <c r="L221" t="s">
        <v>62</v>
      </c>
      <c r="M221" t="s">
        <v>11</v>
      </c>
      <c r="N221" t="s">
        <v>43</v>
      </c>
      <c r="O221" t="s">
        <v>42</v>
      </c>
      <c r="P221" t="s">
        <v>8</v>
      </c>
      <c r="Q221" t="s">
        <v>8</v>
      </c>
      <c r="R221" t="s">
        <v>7</v>
      </c>
      <c r="T221" s="2"/>
      <c r="U221" s="2">
        <v>46044</v>
      </c>
      <c r="V221" s="2">
        <v>45995</v>
      </c>
      <c r="W221" s="1">
        <v>26343.96</v>
      </c>
      <c r="X221">
        <v>13171.98</v>
      </c>
      <c r="Y221" t="s">
        <v>6</v>
      </c>
      <c r="Z221" t="s">
        <v>5</v>
      </c>
      <c r="AA221" s="2" t="s">
        <v>4</v>
      </c>
      <c r="AC221">
        <v>26343.96</v>
      </c>
      <c r="AD221">
        <v>0</v>
      </c>
      <c r="AE221">
        <v>0</v>
      </c>
      <c r="AF221">
        <v>26343.96</v>
      </c>
      <c r="AG221">
        <v>0</v>
      </c>
      <c r="AH221">
        <v>0</v>
      </c>
      <c r="AK221">
        <v>0</v>
      </c>
      <c r="AN221" t="s">
        <v>39</v>
      </c>
      <c r="AO221" t="s">
        <v>38</v>
      </c>
      <c r="AP221">
        <v>13171.98</v>
      </c>
      <c r="AS221" s="1">
        <v>26343.96</v>
      </c>
      <c r="AT221" s="3">
        <v>46053</v>
      </c>
      <c r="AX221" t="s">
        <v>2</v>
      </c>
      <c r="AY221" s="1">
        <v>13171.98</v>
      </c>
      <c r="AZ221" s="1">
        <v>13171.98</v>
      </c>
      <c r="BA221" s="1" t="s">
        <v>0</v>
      </c>
      <c r="BB221" t="s">
        <v>1</v>
      </c>
      <c r="BC221" t="s">
        <v>0</v>
      </c>
    </row>
    <row r="222" spans="1:55" x14ac:dyDescent="0.35">
      <c r="A222" t="s">
        <v>61</v>
      </c>
      <c r="B222">
        <v>75294</v>
      </c>
      <c r="C222" t="s">
        <v>60</v>
      </c>
      <c r="D222" t="s">
        <v>20</v>
      </c>
      <c r="E222" t="s">
        <v>47</v>
      </c>
      <c r="F222" t="s">
        <v>59</v>
      </c>
      <c r="G222" t="s">
        <v>17</v>
      </c>
      <c r="H222" t="s">
        <v>16</v>
      </c>
      <c r="I222" t="s">
        <v>15</v>
      </c>
      <c r="J222" t="s">
        <v>58</v>
      </c>
      <c r="K222" t="s">
        <v>33</v>
      </c>
      <c r="L222" t="s">
        <v>57</v>
      </c>
      <c r="M222" t="s">
        <v>11</v>
      </c>
      <c r="N222" t="s">
        <v>43</v>
      </c>
      <c r="O222" t="s">
        <v>42</v>
      </c>
      <c r="P222" t="s">
        <v>8</v>
      </c>
      <c r="Q222" t="s">
        <v>8</v>
      </c>
      <c r="R222" t="s">
        <v>7</v>
      </c>
      <c r="T222" s="2"/>
      <c r="U222" s="2">
        <v>46044</v>
      </c>
      <c r="V222" s="2">
        <v>45996</v>
      </c>
      <c r="W222" s="1">
        <v>24817.040000000001</v>
      </c>
      <c r="X222">
        <v>12408.52</v>
      </c>
      <c r="Y222" t="s">
        <v>6</v>
      </c>
      <c r="Z222" t="s">
        <v>5</v>
      </c>
      <c r="AA222" s="2" t="s">
        <v>4</v>
      </c>
      <c r="AB222" t="s">
        <v>56</v>
      </c>
      <c r="AC222">
        <v>24817.040000000001</v>
      </c>
      <c r="AD222">
        <v>0</v>
      </c>
      <c r="AE222">
        <v>0</v>
      </c>
      <c r="AF222">
        <v>24817.040000000001</v>
      </c>
      <c r="AG222">
        <v>0</v>
      </c>
      <c r="AH222">
        <v>0</v>
      </c>
      <c r="AI222" t="s">
        <v>40</v>
      </c>
      <c r="AK222">
        <v>0</v>
      </c>
      <c r="AL222" t="s">
        <v>40</v>
      </c>
      <c r="AN222" t="s">
        <v>39</v>
      </c>
      <c r="AO222" t="s">
        <v>38</v>
      </c>
      <c r="AP222">
        <v>12408.52</v>
      </c>
      <c r="AS222" s="1">
        <v>24817.040000000001</v>
      </c>
      <c r="AT222" s="3">
        <v>46053</v>
      </c>
      <c r="AX222" t="s">
        <v>2</v>
      </c>
      <c r="AY222" s="1">
        <v>12408.52</v>
      </c>
      <c r="AZ222" s="1">
        <v>12408.52</v>
      </c>
      <c r="BA222" s="1" t="s">
        <v>0</v>
      </c>
      <c r="BB222" t="s">
        <v>1</v>
      </c>
      <c r="BC222" t="s">
        <v>0</v>
      </c>
    </row>
    <row r="223" spans="1:55" x14ac:dyDescent="0.35">
      <c r="A223" t="s">
        <v>55</v>
      </c>
      <c r="B223">
        <v>75291</v>
      </c>
      <c r="C223" t="s">
        <v>54</v>
      </c>
      <c r="D223" t="s">
        <v>20</v>
      </c>
      <c r="E223" t="s">
        <v>47</v>
      </c>
      <c r="F223" t="s">
        <v>53</v>
      </c>
      <c r="G223" t="s">
        <v>17</v>
      </c>
      <c r="H223" t="s">
        <v>16</v>
      </c>
      <c r="I223" t="s">
        <v>15</v>
      </c>
      <c r="J223" t="s">
        <v>52</v>
      </c>
      <c r="K223" t="s">
        <v>33</v>
      </c>
      <c r="L223" t="s">
        <v>51</v>
      </c>
      <c r="M223" t="s">
        <v>11</v>
      </c>
      <c r="N223" t="s">
        <v>43</v>
      </c>
      <c r="O223" t="s">
        <v>42</v>
      </c>
      <c r="P223" t="s">
        <v>8</v>
      </c>
      <c r="Q223" t="s">
        <v>8</v>
      </c>
      <c r="R223" t="s">
        <v>7</v>
      </c>
      <c r="T223" s="2"/>
      <c r="U223" s="2">
        <v>46044</v>
      </c>
      <c r="V223" s="2">
        <v>45994</v>
      </c>
      <c r="W223" s="1">
        <v>14173.26</v>
      </c>
      <c r="X223">
        <v>7086.63</v>
      </c>
      <c r="Y223" t="s">
        <v>6</v>
      </c>
      <c r="Z223" t="s">
        <v>5</v>
      </c>
      <c r="AA223" s="2" t="s">
        <v>4</v>
      </c>
      <c r="AB223" t="s">
        <v>50</v>
      </c>
      <c r="AC223">
        <v>14173.26</v>
      </c>
      <c r="AD223">
        <v>0</v>
      </c>
      <c r="AE223">
        <v>0</v>
      </c>
      <c r="AF223">
        <v>14173.26</v>
      </c>
      <c r="AG223">
        <v>0</v>
      </c>
      <c r="AH223">
        <v>0</v>
      </c>
      <c r="AK223">
        <v>0</v>
      </c>
      <c r="AN223" t="s">
        <v>39</v>
      </c>
      <c r="AO223" t="s">
        <v>38</v>
      </c>
      <c r="AP223">
        <v>7086.63</v>
      </c>
      <c r="AS223" s="1">
        <v>14173.26</v>
      </c>
      <c r="AT223" s="3">
        <v>46053</v>
      </c>
      <c r="AX223" t="s">
        <v>2</v>
      </c>
      <c r="AY223" s="1">
        <v>7086.63</v>
      </c>
      <c r="AZ223" s="1">
        <v>7086.63</v>
      </c>
      <c r="BA223" s="1" t="s">
        <v>0</v>
      </c>
      <c r="BB223" t="s">
        <v>1</v>
      </c>
      <c r="BC223" t="s">
        <v>0</v>
      </c>
    </row>
    <row r="224" spans="1:55" x14ac:dyDescent="0.35">
      <c r="A224" t="s">
        <v>49</v>
      </c>
      <c r="B224">
        <v>75290</v>
      </c>
      <c r="C224" t="s">
        <v>48</v>
      </c>
      <c r="D224" t="s">
        <v>20</v>
      </c>
      <c r="E224" t="s">
        <v>47</v>
      </c>
      <c r="F224" t="s">
        <v>46</v>
      </c>
      <c r="G224" t="s">
        <v>17</v>
      </c>
      <c r="H224" t="s">
        <v>16</v>
      </c>
      <c r="I224" t="s">
        <v>15</v>
      </c>
      <c r="J224" t="s">
        <v>45</v>
      </c>
      <c r="K224" t="s">
        <v>33</v>
      </c>
      <c r="L224" t="s">
        <v>44</v>
      </c>
      <c r="M224" t="s">
        <v>11</v>
      </c>
      <c r="N224" t="s">
        <v>43</v>
      </c>
      <c r="O224" t="s">
        <v>42</v>
      </c>
      <c r="P224" t="s">
        <v>8</v>
      </c>
      <c r="Q224" t="s">
        <v>8</v>
      </c>
      <c r="R224" t="s">
        <v>7</v>
      </c>
      <c r="T224" s="2"/>
      <c r="U224" s="2">
        <v>46044</v>
      </c>
      <c r="V224" s="2">
        <v>45972</v>
      </c>
      <c r="W224" s="1">
        <v>6861.16</v>
      </c>
      <c r="X224">
        <v>3430.58</v>
      </c>
      <c r="Y224" t="s">
        <v>6</v>
      </c>
      <c r="Z224" t="s">
        <v>5</v>
      </c>
      <c r="AA224" s="2" t="s">
        <v>4</v>
      </c>
      <c r="AB224" t="s">
        <v>41</v>
      </c>
      <c r="AC224">
        <v>6861.16</v>
      </c>
      <c r="AD224">
        <v>0</v>
      </c>
      <c r="AE224">
        <v>0</v>
      </c>
      <c r="AF224">
        <v>6944.86</v>
      </c>
      <c r="AG224">
        <v>0</v>
      </c>
      <c r="AH224">
        <v>0</v>
      </c>
      <c r="AI224" t="s">
        <v>40</v>
      </c>
      <c r="AK224">
        <v>0</v>
      </c>
      <c r="AL224" t="s">
        <v>40</v>
      </c>
      <c r="AN224" t="s">
        <v>39</v>
      </c>
      <c r="AO224" t="s">
        <v>38</v>
      </c>
      <c r="AP224">
        <v>3430.58</v>
      </c>
      <c r="AS224" s="1">
        <v>6861.16</v>
      </c>
      <c r="AT224" s="3">
        <v>46053</v>
      </c>
      <c r="AX224" t="s">
        <v>2</v>
      </c>
      <c r="AY224" s="1">
        <v>3472.43</v>
      </c>
      <c r="AZ224" s="1">
        <v>3430.58</v>
      </c>
      <c r="BA224" s="1" t="s">
        <v>0</v>
      </c>
      <c r="BB224" t="s">
        <v>1</v>
      </c>
      <c r="BC224" t="s">
        <v>0</v>
      </c>
    </row>
    <row r="225" spans="1:55" x14ac:dyDescent="0.35">
      <c r="A225" t="s">
        <v>37</v>
      </c>
      <c r="B225">
        <v>75287</v>
      </c>
      <c r="C225" t="s">
        <v>36</v>
      </c>
      <c r="D225" t="s">
        <v>23</v>
      </c>
      <c r="E225" t="s">
        <v>35</v>
      </c>
      <c r="G225" t="s">
        <v>17</v>
      </c>
      <c r="H225" t="s">
        <v>16</v>
      </c>
      <c r="I225" t="s">
        <v>15</v>
      </c>
      <c r="J225" t="s">
        <v>34</v>
      </c>
      <c r="K225" t="s">
        <v>33</v>
      </c>
      <c r="L225" t="s">
        <v>32</v>
      </c>
      <c r="M225" t="s">
        <v>31</v>
      </c>
      <c r="N225" t="s">
        <v>30</v>
      </c>
      <c r="O225" t="s">
        <v>9</v>
      </c>
      <c r="P225" t="s">
        <v>29</v>
      </c>
      <c r="Q225" t="s">
        <v>8</v>
      </c>
      <c r="R225" t="s">
        <v>28</v>
      </c>
      <c r="T225" s="2"/>
      <c r="U225" s="2">
        <v>46044</v>
      </c>
      <c r="V225" s="2">
        <v>43375</v>
      </c>
      <c r="W225" s="1">
        <v>0.24</v>
      </c>
      <c r="X225"/>
      <c r="Y225" t="s">
        <v>6</v>
      </c>
      <c r="Z225" t="s">
        <v>5</v>
      </c>
      <c r="AA225" s="2" t="s">
        <v>4</v>
      </c>
      <c r="AB225" t="s">
        <v>27</v>
      </c>
      <c r="AC225">
        <v>0.24</v>
      </c>
      <c r="AD225">
        <v>0</v>
      </c>
      <c r="AE225">
        <v>0</v>
      </c>
      <c r="AF225">
        <v>0.24</v>
      </c>
      <c r="AG225">
        <v>0</v>
      </c>
      <c r="AH225">
        <v>0</v>
      </c>
      <c r="AI225" t="s">
        <v>26</v>
      </c>
      <c r="AK225">
        <v>0</v>
      </c>
      <c r="AL225" t="s">
        <v>26</v>
      </c>
      <c r="AN225" t="s">
        <v>25</v>
      </c>
      <c r="AO225" t="s">
        <v>24</v>
      </c>
      <c r="AP225">
        <v>16705000</v>
      </c>
      <c r="AS225" s="1">
        <v>0.24</v>
      </c>
      <c r="AT225" s="3">
        <v>46053</v>
      </c>
      <c r="AX225" t="s">
        <v>2</v>
      </c>
      <c r="AY225" s="1">
        <v>0.12</v>
      </c>
      <c r="AZ225" s="1">
        <v>0.12</v>
      </c>
      <c r="BA225" s="1" t="s">
        <v>0</v>
      </c>
      <c r="BB225" t="s">
        <v>23</v>
      </c>
      <c r="BC225" t="s">
        <v>0</v>
      </c>
    </row>
    <row r="226" spans="1:55" x14ac:dyDescent="0.35">
      <c r="A226" t="s">
        <v>22</v>
      </c>
      <c r="B226">
        <v>75303</v>
      </c>
      <c r="C226" t="s">
        <v>21</v>
      </c>
      <c r="D226" t="s">
        <v>20</v>
      </c>
      <c r="E226" t="s">
        <v>19</v>
      </c>
      <c r="F226" t="s">
        <v>18</v>
      </c>
      <c r="G226" t="s">
        <v>17</v>
      </c>
      <c r="H226" t="s">
        <v>16</v>
      </c>
      <c r="I226" t="s">
        <v>15</v>
      </c>
      <c r="J226" t="s">
        <v>14</v>
      </c>
      <c r="K226" t="s">
        <v>13</v>
      </c>
      <c r="L226" t="s">
        <v>12</v>
      </c>
      <c r="M226" t="s">
        <v>11</v>
      </c>
      <c r="N226" t="s">
        <v>10</v>
      </c>
      <c r="O226" t="s">
        <v>9</v>
      </c>
      <c r="P226" t="s">
        <v>8</v>
      </c>
      <c r="Q226" t="s">
        <v>8</v>
      </c>
      <c r="R226" t="s">
        <v>7</v>
      </c>
      <c r="T226" s="2"/>
      <c r="U226" s="2">
        <v>46045</v>
      </c>
      <c r="V226" s="2">
        <v>44915</v>
      </c>
      <c r="W226" s="1">
        <v>2351.3000000000002</v>
      </c>
      <c r="X226"/>
      <c r="Y226" t="s">
        <v>6</v>
      </c>
      <c r="Z226" t="s">
        <v>5</v>
      </c>
      <c r="AA226" s="2" t="s">
        <v>4</v>
      </c>
      <c r="AB226" t="s">
        <v>3</v>
      </c>
      <c r="AC226">
        <v>2351.3000000000002</v>
      </c>
      <c r="AD226">
        <v>0</v>
      </c>
      <c r="AE226">
        <v>0</v>
      </c>
      <c r="AF226">
        <v>2351.3000000000002</v>
      </c>
      <c r="AG226">
        <v>0</v>
      </c>
      <c r="AH226">
        <v>0</v>
      </c>
      <c r="AK226">
        <v>0</v>
      </c>
      <c r="AP226">
        <v>1175.6500000000001</v>
      </c>
      <c r="AS226" s="1">
        <v>2351.3000000000002</v>
      </c>
      <c r="AT226" s="3">
        <v>46053</v>
      </c>
      <c r="AX226" t="s">
        <v>2</v>
      </c>
      <c r="AY226" s="1">
        <v>1175.6500000000001</v>
      </c>
      <c r="AZ226" s="1">
        <v>1175.6500000000001</v>
      </c>
      <c r="BA226" s="1" t="s">
        <v>0</v>
      </c>
      <c r="BB226" t="s">
        <v>1</v>
      </c>
      <c r="BC226" t="s">
        <v>0</v>
      </c>
    </row>
    <row r="227" spans="1:55" x14ac:dyDescent="0.35">
      <c r="V227" s="2"/>
      <c r="Y227" s="1"/>
    </row>
    <row r="228" spans="1:55" x14ac:dyDescent="0.35">
      <c r="V228" s="2"/>
      <c r="Y228" s="1"/>
    </row>
    <row r="229" spans="1:55" x14ac:dyDescent="0.35">
      <c r="V229" s="2"/>
      <c r="Y229" s="1"/>
    </row>
    <row r="230" spans="1:55" x14ac:dyDescent="0.35">
      <c r="V230" s="2"/>
      <c r="Y230" s="1"/>
    </row>
    <row r="231" spans="1:55" x14ac:dyDescent="0.35">
      <c r="V231" s="2"/>
      <c r="Y231" s="1"/>
    </row>
    <row r="232" spans="1:55" x14ac:dyDescent="0.35">
      <c r="V232" s="2"/>
      <c r="Y232" s="1"/>
    </row>
    <row r="233" spans="1:55" x14ac:dyDescent="0.35">
      <c r="V233" s="2"/>
      <c r="Y233" s="1"/>
    </row>
    <row r="234" spans="1:55" x14ac:dyDescent="0.35">
      <c r="V234" s="2"/>
      <c r="Y234" s="1"/>
    </row>
    <row r="235" spans="1:55" x14ac:dyDescent="0.35">
      <c r="V235" s="2"/>
      <c r="Y235" s="1"/>
    </row>
  </sheetData>
  <autoFilter ref="A2:BC226" xr:uid="{0ED77235-31D9-440A-8BEE-08A506671604}">
    <sortState xmlns:xlrd2="http://schemas.microsoft.com/office/spreadsheetml/2017/richdata2" ref="A3:BC226">
      <sortCondition ref="U2:U226"/>
    </sortState>
  </autoFilter>
  <conditionalFormatting sqref="B2">
    <cfRule type="duplicateValues" dxfId="2" priority="3"/>
  </conditionalFormatting>
  <conditionalFormatting sqref="B148">
    <cfRule type="duplicateValues" dxfId="1" priority="2"/>
  </conditionalFormatting>
  <conditionalFormatting sqref="B202:B235">
    <cfRule type="duplicateValues" dxfId="0" priority="1"/>
  </conditionalFormatting>
  <pageMargins left="0.511811024" right="0.511811024" top="0.78740157499999996" bottom="0.78740157499999996" header="0.31496062000000002" footer="0.31496062000000002"/>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Entradas Pós BP - 9,6M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Francisco Lima</dc:creator>
  <cp:lastModifiedBy>Francisco Lima</cp:lastModifiedBy>
  <dcterms:created xsi:type="dcterms:W3CDTF">2026-03-09T20:57:25Z</dcterms:created>
  <dcterms:modified xsi:type="dcterms:W3CDTF">2026-03-09T20:57:51Z</dcterms:modified>
</cp:coreProperties>
</file>